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O DORO" sheetId="1" r:id="rId4"/>
    <sheet state="visible" name="ROSE 2021" sheetId="2" r:id="rId5"/>
    <sheet state="visible" name="ROSE 2022" sheetId="3" r:id="rId6"/>
    <sheet state="visible" name="ROSE 2023" sheetId="4" r:id="rId7"/>
    <sheet state="visible" name="ROSE 2024" sheetId="5" r:id="rId8"/>
    <sheet state="visible" name="ROSE 2025" sheetId="6" r:id="rId9"/>
    <sheet state="visible" name="ROSE 2026" sheetId="7" r:id="rId10"/>
    <sheet state="visible" name="Riassunto 2026" sheetId="8" r:id="rId11"/>
    <sheet state="visible" name="Riassunto Rose" sheetId="9" r:id="rId12"/>
    <sheet state="visible" name="Lista" sheetId="10" r:id="rId13"/>
    <sheet state="visible" name="LISTA SVINCOLATI" sheetId="11" r:id="rId14"/>
    <sheet state="visible" name="RIASSUNTO SVINCOLATI" sheetId="12" r:id="rId15"/>
  </sheets>
  <definedNames>
    <definedName hidden="1" localSheetId="10" name="_xlnm._FilterDatabase">'LISTA SVINCOLATI'!$C$4:$I$120</definedName>
  </definedNames>
  <calcPr/>
  <extLst>
    <ext uri="GoogleSheetsCustomDataVersion2">
      <go:sheetsCustomData xmlns:go="http://customooxmlschemas.google.com/" r:id="rId16" roundtripDataChecksum="x8UkHjO+CipNrwYTIY2jBDxj/eejlXxwicX21jWLnqw="/>
    </ext>
  </extLst>
</workbook>
</file>

<file path=xl/sharedStrings.xml><?xml version="1.0" encoding="utf-8"?>
<sst xmlns="http://schemas.openxmlformats.org/spreadsheetml/2006/main" count="5029" uniqueCount="1481">
  <si>
    <t>CAMPIONATO</t>
  </si>
  <si>
    <t>COPPA</t>
  </si>
  <si>
    <t>ANNO</t>
  </si>
  <si>
    <t>PRIMO</t>
  </si>
  <si>
    <t>SECONDO</t>
  </si>
  <si>
    <t>TERZO</t>
  </si>
  <si>
    <t>CAMPIONE COPPA</t>
  </si>
  <si>
    <t>VICE CAMPIONE COPPA</t>
  </si>
  <si>
    <t>FATTE</t>
  </si>
  <si>
    <t xml:space="preserve">PIEGRO </t>
  </si>
  <si>
    <t>LOMBA</t>
  </si>
  <si>
    <t>TAFFO</t>
  </si>
  <si>
    <t>PIEGRO</t>
  </si>
  <si>
    <t>ALFIO</t>
  </si>
  <si>
    <t>CASSI</t>
  </si>
  <si>
    <t>FORE</t>
  </si>
  <si>
    <t>ALE</t>
  </si>
  <si>
    <t>FUSTO</t>
  </si>
  <si>
    <t>BURNEY</t>
  </si>
  <si>
    <t>FANTAGHEIS 2020-2021</t>
  </si>
  <si>
    <t>GIOCATORE</t>
  </si>
  <si>
    <t>PREZZO</t>
  </si>
  <si>
    <t>TOT</t>
  </si>
  <si>
    <t>handanovic</t>
  </si>
  <si>
    <t>Ospina</t>
  </si>
  <si>
    <t>pau lopez</t>
  </si>
  <si>
    <t>gollini</t>
  </si>
  <si>
    <t>sepe</t>
  </si>
  <si>
    <t>POR</t>
  </si>
  <si>
    <t>padelli</t>
  </si>
  <si>
    <t>meret</t>
  </si>
  <si>
    <t>mirante</t>
  </si>
  <si>
    <t>sirigu</t>
  </si>
  <si>
    <t>skoruspski</t>
  </si>
  <si>
    <t>montipo</t>
  </si>
  <si>
    <t>consigli</t>
  </si>
  <si>
    <t>cordaz</t>
  </si>
  <si>
    <t>perin</t>
  </si>
  <si>
    <t>colombi</t>
  </si>
  <si>
    <t>djimsiti</t>
  </si>
  <si>
    <t>romagnoli</t>
  </si>
  <si>
    <t>milenkovic</t>
  </si>
  <si>
    <t>criscito</t>
  </si>
  <si>
    <t>acerbi</t>
  </si>
  <si>
    <t>bastoni</t>
  </si>
  <si>
    <t>gosens</t>
  </si>
  <si>
    <t>toloi</t>
  </si>
  <si>
    <t>faraoni</t>
  </si>
  <si>
    <t>alex sandro</t>
  </si>
  <si>
    <t>young</t>
  </si>
  <si>
    <t>godin</t>
  </si>
  <si>
    <t>smalling</t>
  </si>
  <si>
    <t>manolas</t>
  </si>
  <si>
    <t>gagliolo</t>
  </si>
  <si>
    <t>DIF</t>
  </si>
  <si>
    <t>cuadrado</t>
  </si>
  <si>
    <t>mario rui</t>
  </si>
  <si>
    <t>zappacosta</t>
  </si>
  <si>
    <t>pezzella</t>
  </si>
  <si>
    <t>luis felipe</t>
  </si>
  <si>
    <t>patric</t>
  </si>
  <si>
    <t>osorio</t>
  </si>
  <si>
    <t>calabria</t>
  </si>
  <si>
    <t>toljan</t>
  </si>
  <si>
    <t>caldirola</t>
  </si>
  <si>
    <t>hysaj</t>
  </si>
  <si>
    <t>izzo</t>
  </si>
  <si>
    <t xml:space="preserve">demiral </t>
  </si>
  <si>
    <t>strygen larsen</t>
  </si>
  <si>
    <t>bremer</t>
  </si>
  <si>
    <t>bruno alves</t>
  </si>
  <si>
    <t>lykpogiannis</t>
  </si>
  <si>
    <t>muldur</t>
  </si>
  <si>
    <t>maksimovic</t>
  </si>
  <si>
    <t>darmian</t>
  </si>
  <si>
    <t>reca</t>
  </si>
  <si>
    <t>yoshida</t>
  </si>
  <si>
    <t>romero</t>
  </si>
  <si>
    <t>walukjevic</t>
  </si>
  <si>
    <t>klavan</t>
  </si>
  <si>
    <t>milinkovic savic</t>
  </si>
  <si>
    <t>chalanoglu</t>
  </si>
  <si>
    <t>de paul</t>
  </si>
  <si>
    <t>luis alberto</t>
  </si>
  <si>
    <t>pasalic</t>
  </si>
  <si>
    <t>chiesa</t>
  </si>
  <si>
    <t>de roon</t>
  </si>
  <si>
    <t>veretout</t>
  </si>
  <si>
    <t>mkchitaryan</t>
  </si>
  <si>
    <t>castovilli</t>
  </si>
  <si>
    <t>sensi</t>
  </si>
  <si>
    <t>kessie</t>
  </si>
  <si>
    <t>zielinski</t>
  </si>
  <si>
    <t>verre</t>
  </si>
  <si>
    <t>djuricic</t>
  </si>
  <si>
    <t>CEN</t>
  </si>
  <si>
    <t>kucka</t>
  </si>
  <si>
    <t>tonali</t>
  </si>
  <si>
    <t>freuler</t>
  </si>
  <si>
    <t>bentancur</t>
  </si>
  <si>
    <t>politano</t>
  </si>
  <si>
    <t>candreva</t>
  </si>
  <si>
    <t>diawara</t>
  </si>
  <si>
    <t>ramirez</t>
  </si>
  <si>
    <t>ricci</t>
  </si>
  <si>
    <t>viola</t>
  </si>
  <si>
    <t>linetty</t>
  </si>
  <si>
    <t>mckenny</t>
  </si>
  <si>
    <t>miranchuk</t>
  </si>
  <si>
    <t>marin</t>
  </si>
  <si>
    <t>bakayoko</t>
  </si>
  <si>
    <t>sottil</t>
  </si>
  <si>
    <t>svanberg</t>
  </si>
  <si>
    <t>bennacer</t>
  </si>
  <si>
    <t>miguel veloso</t>
  </si>
  <si>
    <t>castillejo</t>
  </si>
  <si>
    <t>tameze</t>
  </si>
  <si>
    <t>maxim lopez</t>
  </si>
  <si>
    <t>bernardeschi</t>
  </si>
  <si>
    <t>ionita</t>
  </si>
  <si>
    <t>daamsgard</t>
  </si>
  <si>
    <t>lukaku</t>
  </si>
  <si>
    <t>ibrahimovic</t>
  </si>
  <si>
    <t>caputo</t>
  </si>
  <si>
    <t>rebic</t>
  </si>
  <si>
    <t>lautaro</t>
  </si>
  <si>
    <t>cornelius</t>
  </si>
  <si>
    <t>osimhen</t>
  </si>
  <si>
    <t xml:space="preserve">belotti </t>
  </si>
  <si>
    <t>insigne l.</t>
  </si>
  <si>
    <t>berardi</t>
  </si>
  <si>
    <t>ATT</t>
  </si>
  <si>
    <t>bonazzoli</t>
  </si>
  <si>
    <t>leao</t>
  </si>
  <si>
    <t>delofeu</t>
  </si>
  <si>
    <t>joao pedro</t>
  </si>
  <si>
    <t>lapadula</t>
  </si>
  <si>
    <t>messias</t>
  </si>
  <si>
    <t>colombo</t>
  </si>
  <si>
    <t>vhlaovic</t>
  </si>
  <si>
    <t>correa</t>
  </si>
  <si>
    <t>pandev</t>
  </si>
  <si>
    <t>koume</t>
  </si>
  <si>
    <t>petagna</t>
  </si>
  <si>
    <t>palacio</t>
  </si>
  <si>
    <t>simy</t>
  </si>
  <si>
    <t>sau</t>
  </si>
  <si>
    <t>galabinov</t>
  </si>
  <si>
    <t>shomorodov</t>
  </si>
  <si>
    <t>hauge</t>
  </si>
  <si>
    <t>lasagna</t>
  </si>
  <si>
    <t>lammers</t>
  </si>
  <si>
    <t>TOT SPESO</t>
  </si>
  <si>
    <t>RIMANENTI</t>
  </si>
  <si>
    <t>PIE</t>
  </si>
  <si>
    <t>ISMO</t>
  </si>
  <si>
    <t>NIUB</t>
  </si>
  <si>
    <t>SBRI</t>
  </si>
  <si>
    <t>szcezny</t>
  </si>
  <si>
    <t>donnarumma</t>
  </si>
  <si>
    <t>sportiello</t>
  </si>
  <si>
    <t>strakosha</t>
  </si>
  <si>
    <t>dragowski</t>
  </si>
  <si>
    <t>reina</t>
  </si>
  <si>
    <t>tatarusanu</t>
  </si>
  <si>
    <t>cragno</t>
  </si>
  <si>
    <t>musso</t>
  </si>
  <si>
    <t>audero</t>
  </si>
  <si>
    <t>buffon</t>
  </si>
  <si>
    <t>radu</t>
  </si>
  <si>
    <t>silvestri</t>
  </si>
  <si>
    <t>rafael</t>
  </si>
  <si>
    <t>terracciano</t>
  </si>
  <si>
    <t>di lorenzo</t>
  </si>
  <si>
    <t>de ligt</t>
  </si>
  <si>
    <t>kolarov</t>
  </si>
  <si>
    <t>chiellini</t>
  </si>
  <si>
    <t>bonucci</t>
  </si>
  <si>
    <t>spinazzola</t>
  </si>
  <si>
    <t>t. hernandez</t>
  </si>
  <si>
    <t>de vrij</t>
  </si>
  <si>
    <t>hakimi</t>
  </si>
  <si>
    <t>palomino</t>
  </si>
  <si>
    <t>pellegrini lu</t>
  </si>
  <si>
    <t>d'ambrosio</t>
  </si>
  <si>
    <t>tomiyasu</t>
  </si>
  <si>
    <t>koulibaly</t>
  </si>
  <si>
    <t>hateboer</t>
  </si>
  <si>
    <t>augello</t>
  </si>
  <si>
    <t>n'koulu</t>
  </si>
  <si>
    <t>glik</t>
  </si>
  <si>
    <t>rodriguez</t>
  </si>
  <si>
    <t>skriniar</t>
  </si>
  <si>
    <t>danilo</t>
  </si>
  <si>
    <t>ibanez</t>
  </si>
  <si>
    <t>kumbulla</t>
  </si>
  <si>
    <t>kjaer</t>
  </si>
  <si>
    <t>piccini</t>
  </si>
  <si>
    <t>letizia</t>
  </si>
  <si>
    <t>colley</t>
  </si>
  <si>
    <t>mancini</t>
  </si>
  <si>
    <t>ansaldi</t>
  </si>
  <si>
    <t>de silvestri</t>
  </si>
  <si>
    <t>ghiglione</t>
  </si>
  <si>
    <t>zappa</t>
  </si>
  <si>
    <t>ferrari</t>
  </si>
  <si>
    <t>biraghi</t>
  </si>
  <si>
    <t>bruno peres</t>
  </si>
  <si>
    <t>vojvoda</t>
  </si>
  <si>
    <t>nuyintick</t>
  </si>
  <si>
    <t>frabotta</t>
  </si>
  <si>
    <t>berezisnky</t>
  </si>
  <si>
    <t>caceres</t>
  </si>
  <si>
    <t>arthur</t>
  </si>
  <si>
    <t>vidal</t>
  </si>
  <si>
    <t>gomez</t>
  </si>
  <si>
    <t>brozovic</t>
  </si>
  <si>
    <t>kulusevski</t>
  </si>
  <si>
    <t>soriano</t>
  </si>
  <si>
    <t>ruiz</t>
  </si>
  <si>
    <t>bonaventura</t>
  </si>
  <si>
    <t>pulgar</t>
  </si>
  <si>
    <t>verdi</t>
  </si>
  <si>
    <t>rabiot</t>
  </si>
  <si>
    <t>malinovsky</t>
  </si>
  <si>
    <t>eriksen</t>
  </si>
  <si>
    <t>locatelli</t>
  </si>
  <si>
    <t>ambrabat</t>
  </si>
  <si>
    <t>barak</t>
  </si>
  <si>
    <t>zaccagni</t>
  </si>
  <si>
    <t>brahim diaz</t>
  </si>
  <si>
    <t>lazovic</t>
  </si>
  <si>
    <t>zaniolo</t>
  </si>
  <si>
    <t>ramsey</t>
  </si>
  <si>
    <t>kurtic</t>
  </si>
  <si>
    <t>pellegrini</t>
  </si>
  <si>
    <t>rog</t>
  </si>
  <si>
    <t>barella</t>
  </si>
  <si>
    <t>jankto</t>
  </si>
  <si>
    <t>cyprien</t>
  </si>
  <si>
    <t>lazzari</t>
  </si>
  <si>
    <t>saelemekers</t>
  </si>
  <si>
    <t>callejon</t>
  </si>
  <si>
    <t>nandez</t>
  </si>
  <si>
    <t>pereiro</t>
  </si>
  <si>
    <t>zajc</t>
  </si>
  <si>
    <t>benali</t>
  </si>
  <si>
    <t>perisic</t>
  </si>
  <si>
    <t>rincon</t>
  </si>
  <si>
    <t>gojak</t>
  </si>
  <si>
    <t>pereyra</t>
  </si>
  <si>
    <t>maggiore</t>
  </si>
  <si>
    <t>demme</t>
  </si>
  <si>
    <t>mertens</t>
  </si>
  <si>
    <t>muriel</t>
  </si>
  <si>
    <t>zapata</t>
  </si>
  <si>
    <t>immobile</t>
  </si>
  <si>
    <t>ronaldo</t>
  </si>
  <si>
    <t>morata</t>
  </si>
  <si>
    <t>lozano</t>
  </si>
  <si>
    <t>quagliarella</t>
  </si>
  <si>
    <t>barrow</t>
  </si>
  <si>
    <t>dzeko</t>
  </si>
  <si>
    <t>dybala</t>
  </si>
  <si>
    <t>simeone</t>
  </si>
  <si>
    <t>ribery</t>
  </si>
  <si>
    <t>kalinic</t>
  </si>
  <si>
    <t>destro</t>
  </si>
  <si>
    <t>pedro</t>
  </si>
  <si>
    <t>pavoletti</t>
  </si>
  <si>
    <t>k.balde</t>
  </si>
  <si>
    <t>caicedo</t>
  </si>
  <si>
    <t>sanchez</t>
  </si>
  <si>
    <t>orsolini</t>
  </si>
  <si>
    <t>ilicic</t>
  </si>
  <si>
    <t>gyasi</t>
  </si>
  <si>
    <t>pjaca</t>
  </si>
  <si>
    <t>iago falque</t>
  </si>
  <si>
    <t>caprari</t>
  </si>
  <si>
    <t>boga</t>
  </si>
  <si>
    <t>ounas</t>
  </si>
  <si>
    <t>inglese</t>
  </si>
  <si>
    <t>gervinho</t>
  </si>
  <si>
    <t>FANTAGHEIS 2021-2022</t>
  </si>
  <si>
    <t>HANDANOVIC</t>
  </si>
  <si>
    <t>MAIGNAN</t>
  </si>
  <si>
    <t>CONSIGLI</t>
  </si>
  <si>
    <t>MERET</t>
  </si>
  <si>
    <t>RUI PATRICIO</t>
  </si>
  <si>
    <t>RADU I.</t>
  </si>
  <si>
    <t>TATARUSANU</t>
  </si>
  <si>
    <t>PERIN</t>
  </si>
  <si>
    <t>OSPINA</t>
  </si>
  <si>
    <t>MONTIPO'</t>
  </si>
  <si>
    <t>CORDAZ</t>
  </si>
  <si>
    <t>PLIZZARI</t>
  </si>
  <si>
    <t>ZOET</t>
  </si>
  <si>
    <t>BELEC</t>
  </si>
  <si>
    <t>FUZATO</t>
  </si>
  <si>
    <t>KJAER</t>
  </si>
  <si>
    <t>MAEHLE</t>
  </si>
  <si>
    <t>ACERBI</t>
  </si>
  <si>
    <t>BIRAGHI</t>
  </si>
  <si>
    <t>DI LORENZO</t>
  </si>
  <si>
    <t>DE VRIJ</t>
  </si>
  <si>
    <t>MILENKOVIC</t>
  </si>
  <si>
    <t>DANILO</t>
  </si>
  <si>
    <t>FARAONI</t>
  </si>
  <si>
    <t>BASTONI</t>
  </si>
  <si>
    <t>DE LIGT</t>
  </si>
  <si>
    <t>TOMORI</t>
  </si>
  <si>
    <t>CALABRIA</t>
  </si>
  <si>
    <t>CALDARA</t>
  </si>
  <si>
    <t>BREMER</t>
  </si>
  <si>
    <t>DUMFRIES</t>
  </si>
  <si>
    <t>SINGO</t>
  </si>
  <si>
    <t>MANOLAS</t>
  </si>
  <si>
    <t>RUGGERI</t>
  </si>
  <si>
    <t>STRYGER LARSEN</t>
  </si>
  <si>
    <t>MARCHIZZA</t>
  </si>
  <si>
    <t>KUMBULLA</t>
  </si>
  <si>
    <t>BONIFAZI</t>
  </si>
  <si>
    <t>DEMIRAL</t>
  </si>
  <si>
    <t>ALEX SANDRO</t>
  </si>
  <si>
    <t>DJIMSITI</t>
  </si>
  <si>
    <t>ZAPPA</t>
  </si>
  <si>
    <t>D'AMBROSIO</t>
  </si>
  <si>
    <t>NASTASIC</t>
  </si>
  <si>
    <t>MARIO RUI</t>
  </si>
  <si>
    <t>AMIAN</t>
  </si>
  <si>
    <t>ODRIOZOLA</t>
  </si>
  <si>
    <t>ROMAGNOLI</t>
  </si>
  <si>
    <t>ANSALDI</t>
  </si>
  <si>
    <t>COLLEY</t>
  </si>
  <si>
    <t>FARES</t>
  </si>
  <si>
    <t>SMALLING</t>
  </si>
  <si>
    <t>CHIELLINI</t>
  </si>
  <si>
    <t>SAMIR</t>
  </si>
  <si>
    <t>VANHEUSDEN</t>
  </si>
  <si>
    <t>VERETOUT</t>
  </si>
  <si>
    <t>KESSIE'</t>
  </si>
  <si>
    <t>MKHITARYAN</t>
  </si>
  <si>
    <t>KULUSEVSKI</t>
  </si>
  <si>
    <t>PELLEGRINI LO.</t>
  </si>
  <si>
    <t>LOPEZ M.</t>
  </si>
  <si>
    <t>ZANIOLO</t>
  </si>
  <si>
    <t>CHIESA</t>
  </si>
  <si>
    <t>MALINOVSKYI</t>
  </si>
  <si>
    <t>DIAZ B.</t>
  </si>
  <si>
    <t>NANDEZ</t>
  </si>
  <si>
    <t>SVANBERG</t>
  </si>
  <si>
    <t>FELIPE ANDERSON</t>
  </si>
  <si>
    <t>PEREYRA</t>
  </si>
  <si>
    <t>CANDREVA</t>
  </si>
  <si>
    <t>DE ROON</t>
  </si>
  <si>
    <t>TONALI</t>
  </si>
  <si>
    <t>SAELEMAEKERS</t>
  </si>
  <si>
    <t>MARIN</t>
  </si>
  <si>
    <t>ZURKOWSKI</t>
  </si>
  <si>
    <t>MIGUEL VELOSO</t>
  </si>
  <si>
    <t>PRAET</t>
  </si>
  <si>
    <t>LUCAS LEIVA</t>
  </si>
  <si>
    <t>MIRANCHUK</t>
  </si>
  <si>
    <t>MAGGIORE</t>
  </si>
  <si>
    <t>HAAS</t>
  </si>
  <si>
    <t>PULGAR</t>
  </si>
  <si>
    <t>RABIOT</t>
  </si>
  <si>
    <t>HEYMANS</t>
  </si>
  <si>
    <t>BAJRAMI</t>
  </si>
  <si>
    <t>PERETZ</t>
  </si>
  <si>
    <t>TAMEZE</t>
  </si>
  <si>
    <t>ELMAS</t>
  </si>
  <si>
    <t>BERNARDESCHI</t>
  </si>
  <si>
    <t>TORREIRA</t>
  </si>
  <si>
    <t>SENSI</t>
  </si>
  <si>
    <t>KOVALENKO</t>
  </si>
  <si>
    <t>MESSIAS</t>
  </si>
  <si>
    <t>RICCI S.</t>
  </si>
  <si>
    <t>SCHOUTEN</t>
  </si>
  <si>
    <t>JOAO PEDRO</t>
  </si>
  <si>
    <t>ABRAHAM</t>
  </si>
  <si>
    <t>ZAPATA D.</t>
  </si>
  <si>
    <t>DYBALA</t>
  </si>
  <si>
    <t>MURIEL</t>
  </si>
  <si>
    <t>CAICEDO</t>
  </si>
  <si>
    <t>IBRAHIMOVIC</t>
  </si>
  <si>
    <t>CAPUTO</t>
  </si>
  <si>
    <t>BERARDI</t>
  </si>
  <si>
    <t>GIROUD</t>
  </si>
  <si>
    <t>BELOTTI</t>
  </si>
  <si>
    <t>KEAN</t>
  </si>
  <si>
    <t>DEULOFEU</t>
  </si>
  <si>
    <t>FORTE</t>
  </si>
  <si>
    <t>SIMEONE</t>
  </si>
  <si>
    <t>SCAMACCA</t>
  </si>
  <si>
    <t>CUTRONE</t>
  </si>
  <si>
    <t>SHOMURODOV</t>
  </si>
  <si>
    <t>PUSSETTO</t>
  </si>
  <si>
    <t>GYASI</t>
  </si>
  <si>
    <t>VERDE</t>
  </si>
  <si>
    <t>DI FRANCESCO F.</t>
  </si>
  <si>
    <t>GABBIADINI</t>
  </si>
  <si>
    <t>PAVOLETTI</t>
  </si>
  <si>
    <t>PANDEV</t>
  </si>
  <si>
    <t>HENRY</t>
  </si>
  <si>
    <t>MAYORAL</t>
  </si>
  <si>
    <t>PJACA</t>
  </si>
  <si>
    <t>LASAGNA</t>
  </si>
  <si>
    <t>CANCELLIERI</t>
  </si>
  <si>
    <t>MUSSO</t>
  </si>
  <si>
    <t>AUDERO</t>
  </si>
  <si>
    <t>SZCZESNY</t>
  </si>
  <si>
    <t>MILINKOVIC-SAVIC V.</t>
  </si>
  <si>
    <t>REINA</t>
  </si>
  <si>
    <t>SPORTIELLO</t>
  </si>
  <si>
    <t>CRAGNO</t>
  </si>
  <si>
    <t>SKORUPSKI</t>
  </si>
  <si>
    <t>DRAGOWSKI</t>
  </si>
  <si>
    <t>LEZZERINI</t>
  </si>
  <si>
    <t>VICARIO</t>
  </si>
  <si>
    <t>SIRIGU</t>
  </si>
  <si>
    <t>PINSOGLIO</t>
  </si>
  <si>
    <t>SILVESTRI</t>
  </si>
  <si>
    <t>STRAKOSHA</t>
  </si>
  <si>
    <t>BONUCCI</t>
  </si>
  <si>
    <t>GOSENS</t>
  </si>
  <si>
    <t>LAZZARI</t>
  </si>
  <si>
    <t>MOLINA N.</t>
  </si>
  <si>
    <t>DALBERT</t>
  </si>
  <si>
    <t>LUIZ FELIPE</t>
  </si>
  <si>
    <t>HERNANDEZ T.</t>
  </si>
  <si>
    <t>CRISCITO</t>
  </si>
  <si>
    <t>CUADRADO</t>
  </si>
  <si>
    <t>HYSAJ</t>
  </si>
  <si>
    <t>LYKOGIANNIS</t>
  </si>
  <si>
    <t>MANCINI</t>
  </si>
  <si>
    <t>STOJANOVIC</t>
  </si>
  <si>
    <t>KARSDORP</t>
  </si>
  <si>
    <t>SKRINIAR</t>
  </si>
  <si>
    <t>BASTONI S.</t>
  </si>
  <si>
    <t>NUYTINCK</t>
  </si>
  <si>
    <t>VINA</t>
  </si>
  <si>
    <t>FERRARI G.</t>
  </si>
  <si>
    <t>BERESZYNSKI</t>
  </si>
  <si>
    <t>AUGELLO</t>
  </si>
  <si>
    <t>UDOGIE</t>
  </si>
  <si>
    <t>DARMIAN</t>
  </si>
  <si>
    <t>ZAPPACOSTA</t>
  </si>
  <si>
    <t>KOULIBALY</t>
  </si>
  <si>
    <t>SPINAZZOLA</t>
  </si>
  <si>
    <t>DIMARCO</t>
  </si>
  <si>
    <t>GODIN</t>
  </si>
  <si>
    <t>ERLIC</t>
  </si>
  <si>
    <t>FLORENZI</t>
  </si>
  <si>
    <t>HATEBOER</t>
  </si>
  <si>
    <t>MARTINEZ QUARTA</t>
  </si>
  <si>
    <t>DE SILVESTRI</t>
  </si>
  <si>
    <t>SABELLI</t>
  </si>
  <si>
    <t>IBANEZ</t>
  </si>
  <si>
    <t>PALOMINO</t>
  </si>
  <si>
    <t>YOSHIDA</t>
  </si>
  <si>
    <t>TOLOI</t>
  </si>
  <si>
    <t>RODRIGO BECAO</t>
  </si>
  <si>
    <t>ROGERIO</t>
  </si>
  <si>
    <t xml:space="preserve"> </t>
  </si>
  <si>
    <t>MILINKOVIC-SAVIC</t>
  </si>
  <si>
    <t>MCKENNIE</t>
  </si>
  <si>
    <t>LUIS ALBERTO</t>
  </si>
  <si>
    <t>ZACCAGNI</t>
  </si>
  <si>
    <t>BARELLA</t>
  </si>
  <si>
    <t>CASTROVILLI</t>
  </si>
  <si>
    <t>SORIANO</t>
  </si>
  <si>
    <t>CALHANOGLU</t>
  </si>
  <si>
    <t>ZIELINSKI</t>
  </si>
  <si>
    <t>DJURICIC</t>
  </si>
  <si>
    <t>LOCATELLI</t>
  </si>
  <si>
    <t>PASALIC</t>
  </si>
  <si>
    <t>DAMSGAARD</t>
  </si>
  <si>
    <t>RUIZ</t>
  </si>
  <si>
    <t>BARAK</t>
  </si>
  <si>
    <t>ORSOLINI</t>
  </si>
  <si>
    <t>ARSLAN</t>
  </si>
  <si>
    <t>LAZOVIC</t>
  </si>
  <si>
    <t>BONAVENTURA</t>
  </si>
  <si>
    <t>BROZOVIC</t>
  </si>
  <si>
    <t>FREULER</t>
  </si>
  <si>
    <t>THORSBY</t>
  </si>
  <si>
    <t>STROOTMAN</t>
  </si>
  <si>
    <t>BENTANCUR</t>
  </si>
  <si>
    <t>PESSINA</t>
  </si>
  <si>
    <t>PERISIC</t>
  </si>
  <si>
    <t>SOTTIL</t>
  </si>
  <si>
    <t>POBEGA</t>
  </si>
  <si>
    <t>MANDRAGORA</t>
  </si>
  <si>
    <t>ARTHUR</t>
  </si>
  <si>
    <t>CALLEJON</t>
  </si>
  <si>
    <t>ARAMU</t>
  </si>
  <si>
    <t>HERNANI</t>
  </si>
  <si>
    <t>VERDI</t>
  </si>
  <si>
    <t>AMRABAT</t>
  </si>
  <si>
    <t>RAMSEY</t>
  </si>
  <si>
    <t>TRAORE' HJ.</t>
  </si>
  <si>
    <t>VIDAL</t>
  </si>
  <si>
    <t>ILIC</t>
  </si>
  <si>
    <t>BENNACER</t>
  </si>
  <si>
    <t>MORATA</t>
  </si>
  <si>
    <t>VLAHOVIC</t>
  </si>
  <si>
    <t>KEITA B.</t>
  </si>
  <si>
    <t>INSIGNE</t>
  </si>
  <si>
    <t>IMMOBILE</t>
  </si>
  <si>
    <t>DZEKO</t>
  </si>
  <si>
    <t>MANCUSO</t>
  </si>
  <si>
    <t>OSIMHEN</t>
  </si>
  <si>
    <t>MARTINEZ L.</t>
  </si>
  <si>
    <t>CORREA</t>
  </si>
  <si>
    <t>PEDRO</t>
  </si>
  <si>
    <t>RASPADORI</t>
  </si>
  <si>
    <t>ARNAUTOVIC</t>
  </si>
  <si>
    <t>BARROW</t>
  </si>
  <si>
    <t>POLITANO</t>
  </si>
  <si>
    <t>GONZALEZ N.</t>
  </si>
  <si>
    <t>REBIC</t>
  </si>
  <si>
    <t>MERTENS</t>
  </si>
  <si>
    <t>ILICIC</t>
  </si>
  <si>
    <t>SANSONE</t>
  </si>
  <si>
    <t>RAFAEL LEAO</t>
  </si>
  <si>
    <t>LOZANO</t>
  </si>
  <si>
    <t>QUAGLIARELLA</t>
  </si>
  <si>
    <t>BOGA</t>
  </si>
  <si>
    <t>KAIO JORGE</t>
  </si>
  <si>
    <t>NZOLA</t>
  </si>
  <si>
    <t>MORO</t>
  </si>
  <si>
    <t>SIMY</t>
  </si>
  <si>
    <t>DESTRO</t>
  </si>
  <si>
    <t>SUCCESS</t>
  </si>
  <si>
    <t>FANTAGHEIS 2022-2023</t>
  </si>
  <si>
    <t>TAFFO GAY</t>
  </si>
  <si>
    <t>FOR(R)EST</t>
  </si>
  <si>
    <t>CASSI NO BARNEY</t>
  </si>
  <si>
    <t>ALFIO DUE GAY</t>
  </si>
  <si>
    <t>ALè Alè</t>
  </si>
  <si>
    <t>WINNER
FUSTO</t>
  </si>
  <si>
    <t>Di Lorenzo</t>
  </si>
  <si>
    <t>Szczesny</t>
  </si>
  <si>
    <t>Maignan</t>
  </si>
  <si>
    <t>Rui Patricio</t>
  </si>
  <si>
    <t>Meret</t>
  </si>
  <si>
    <t>Musso</t>
  </si>
  <si>
    <t>Perin</t>
  </si>
  <si>
    <t>Tatarusanu</t>
  </si>
  <si>
    <t>Svilar</t>
  </si>
  <si>
    <t>Sirigu</t>
  </si>
  <si>
    <t>Sportiello</t>
  </si>
  <si>
    <t>Pinsoglio</t>
  </si>
  <si>
    <t>Sepe</t>
  </si>
  <si>
    <t>Terracciano</t>
  </si>
  <si>
    <t>Falcone</t>
  </si>
  <si>
    <t>Rossi F.</t>
  </si>
  <si>
    <t>Bremer</t>
  </si>
  <si>
    <t>Hernandez T.</t>
  </si>
  <si>
    <t>Calabria</t>
  </si>
  <si>
    <t>Dodo'</t>
  </si>
  <si>
    <t>Tomori</t>
  </si>
  <si>
    <t>Maehle</t>
  </si>
  <si>
    <t>Gosens</t>
  </si>
  <si>
    <t>Biraghi</t>
  </si>
  <si>
    <t>Rrahmani</t>
  </si>
  <si>
    <t>Karsdorp</t>
  </si>
  <si>
    <t>Kalulu</t>
  </si>
  <si>
    <t>Dest</t>
  </si>
  <si>
    <t>Faraoni</t>
  </si>
  <si>
    <t>Skriniar</t>
  </si>
  <si>
    <t>Singo</t>
  </si>
  <si>
    <t>De Silvestri</t>
  </si>
  <si>
    <t>Lazzari</t>
  </si>
  <si>
    <t>Ghiglione</t>
  </si>
  <si>
    <t>Fazio</t>
  </si>
  <si>
    <t>Igor</t>
  </si>
  <si>
    <t>Lucumi'</t>
  </si>
  <si>
    <t>Ferrari G.</t>
  </si>
  <si>
    <t>Vojvoda</t>
  </si>
  <si>
    <t>Danilo</t>
  </si>
  <si>
    <t>Dimarco</t>
  </si>
  <si>
    <t>Kjaer</t>
  </si>
  <si>
    <t>Celik</t>
  </si>
  <si>
    <t>Umtiti</t>
  </si>
  <si>
    <t>Mancini</t>
  </si>
  <si>
    <t>Soppy</t>
  </si>
  <si>
    <t>Zortea</t>
  </si>
  <si>
    <t>Augello</t>
  </si>
  <si>
    <t>Patric</t>
  </si>
  <si>
    <t>Reca</t>
  </si>
  <si>
    <t>Gatti</t>
  </si>
  <si>
    <t>Izzo</t>
  </si>
  <si>
    <t>Alex sandro</t>
  </si>
  <si>
    <t>Bereszynski</t>
  </si>
  <si>
    <t>Kasius</t>
  </si>
  <si>
    <t>Zaniolo</t>
  </si>
  <si>
    <t>Zielinski</t>
  </si>
  <si>
    <t>Kvaratskhelia</t>
  </si>
  <si>
    <t>Gyasi</t>
  </si>
  <si>
    <t>Milinkovic-Savic</t>
  </si>
  <si>
    <t>Felipe Anderson</t>
  </si>
  <si>
    <t>Tonali</t>
  </si>
  <si>
    <t>Zaccagni</t>
  </si>
  <si>
    <t>Miranchuk</t>
  </si>
  <si>
    <t>Candreva</t>
  </si>
  <si>
    <t>Frattesi</t>
  </si>
  <si>
    <t>Vecino</t>
  </si>
  <si>
    <t>Traore' Hj.</t>
  </si>
  <si>
    <t>Pogba</t>
  </si>
  <si>
    <t>Bennacer</t>
  </si>
  <si>
    <t>Pereyra</t>
  </si>
  <si>
    <t>Mkhitaryan</t>
  </si>
  <si>
    <t>De Roon</t>
  </si>
  <si>
    <t>Messias</t>
  </si>
  <si>
    <t>Kostic</t>
  </si>
  <si>
    <t>Lopez M.</t>
  </si>
  <si>
    <t>Rabiot</t>
  </si>
  <si>
    <t>Ederson D.s.</t>
  </si>
  <si>
    <t>Sottil</t>
  </si>
  <si>
    <t>Lazovic</t>
  </si>
  <si>
    <t>Sabiri</t>
  </si>
  <si>
    <t>Sensi</t>
  </si>
  <si>
    <t>Samardzic</t>
  </si>
  <si>
    <t>Ikone'</t>
  </si>
  <si>
    <t>Amrabat</t>
  </si>
  <si>
    <t>Zalewski</t>
  </si>
  <si>
    <t>Miretti</t>
  </si>
  <si>
    <t>Soriano</t>
  </si>
  <si>
    <t>Cristante</t>
  </si>
  <si>
    <t>Ricci S.</t>
  </si>
  <si>
    <t>Valoti</t>
  </si>
  <si>
    <t>Pobega</t>
  </si>
  <si>
    <t>Agudelo</t>
  </si>
  <si>
    <t>Lovric</t>
  </si>
  <si>
    <t>Saelemaekers</t>
  </si>
  <si>
    <t>Henry</t>
  </si>
  <si>
    <t>Abraham</t>
  </si>
  <si>
    <t>Immobile</t>
  </si>
  <si>
    <t>Dybala</t>
  </si>
  <si>
    <t>Arnautovic</t>
  </si>
  <si>
    <t>Osimhen</t>
  </si>
  <si>
    <t>Quagliarella</t>
  </si>
  <si>
    <t>Ceesay</t>
  </si>
  <si>
    <t>Muriel</t>
  </si>
  <si>
    <t>Raspadori</t>
  </si>
  <si>
    <t>Beto</t>
  </si>
  <si>
    <t>Sanabria</t>
  </si>
  <si>
    <t>Dessers</t>
  </si>
  <si>
    <t>Pinamonti</t>
  </si>
  <si>
    <t>Zapata D.</t>
  </si>
  <si>
    <t>Mota</t>
  </si>
  <si>
    <t>Hojlund</t>
  </si>
  <si>
    <t>Gonzalez N.</t>
  </si>
  <si>
    <t>Origi</t>
  </si>
  <si>
    <t>Okereke</t>
  </si>
  <si>
    <t>Destro</t>
  </si>
  <si>
    <t>Colombo</t>
  </si>
  <si>
    <t>Rebic</t>
  </si>
  <si>
    <t>Dzeko</t>
  </si>
  <si>
    <t>Pedro</t>
  </si>
  <si>
    <t>Verde</t>
  </si>
  <si>
    <t>Belotti</t>
  </si>
  <si>
    <t>Cabral</t>
  </si>
  <si>
    <t>Lozano</t>
  </si>
  <si>
    <t>Pellegri</t>
  </si>
  <si>
    <t>PIE TRO IA</t>
  </si>
  <si>
    <t xml:space="preserve">ISN'T MO </t>
  </si>
  <si>
    <t>LOMBA LGIA</t>
  </si>
  <si>
    <t>NEWB</t>
  </si>
  <si>
    <t>SBRI CIOLO</t>
  </si>
  <si>
    <t>Handanovic</t>
  </si>
  <si>
    <t>Provedel</t>
  </si>
  <si>
    <t>Silvestri</t>
  </si>
  <si>
    <t>Gollini</t>
  </si>
  <si>
    <t>Milinkovic-Savic V.</t>
  </si>
  <si>
    <t>Onana</t>
  </si>
  <si>
    <t>Skorupski</t>
  </si>
  <si>
    <t>Montipo'</t>
  </si>
  <si>
    <t>Vicario</t>
  </si>
  <si>
    <t>Audero</t>
  </si>
  <si>
    <t>Berisha</t>
  </si>
  <si>
    <t>Luis Maximiano</t>
  </si>
  <si>
    <t>Consigli</t>
  </si>
  <si>
    <t>Dragowski</t>
  </si>
  <si>
    <t>Contini</t>
  </si>
  <si>
    <t>Udogie</t>
  </si>
  <si>
    <t>Bonucci</t>
  </si>
  <si>
    <t>Smalling</t>
  </si>
  <si>
    <t>Dumfries</t>
  </si>
  <si>
    <t>Spinazzola</t>
  </si>
  <si>
    <t>Mazzocchi</t>
  </si>
  <si>
    <t>Rodrigo Becao</t>
  </si>
  <si>
    <t>Romagnoli</t>
  </si>
  <si>
    <t>Ibanez</t>
  </si>
  <si>
    <t>Kim</t>
  </si>
  <si>
    <t>Bastoni S.</t>
  </si>
  <si>
    <t>Kyriakopoulos</t>
  </si>
  <si>
    <t>Bastoni</t>
  </si>
  <si>
    <t>De Vrij</t>
  </si>
  <si>
    <t>Milenkovic</t>
  </si>
  <si>
    <t>Zappacosta</t>
  </si>
  <si>
    <t>Valeri</t>
  </si>
  <si>
    <t>Cambiaso</t>
  </si>
  <si>
    <t>Parisi</t>
  </si>
  <si>
    <t>Hateboer</t>
  </si>
  <si>
    <t>Darmian</t>
  </si>
  <si>
    <t>Okoli</t>
  </si>
  <si>
    <t>Demiral</t>
  </si>
  <si>
    <t>Lykogiannis</t>
  </si>
  <si>
    <t>Marusic</t>
  </si>
  <si>
    <t>Erlic</t>
  </si>
  <si>
    <t>Schuurs</t>
  </si>
  <si>
    <t>Rodriguez R.</t>
  </si>
  <si>
    <t>Toloi</t>
  </si>
  <si>
    <t>Chiriches</t>
  </si>
  <si>
    <t>Carlos Augusto</t>
  </si>
  <si>
    <t>Doig</t>
  </si>
  <si>
    <t>D'ambrosio</t>
  </si>
  <si>
    <t>Mario Rui</t>
  </si>
  <si>
    <t>Juan Jesus</t>
  </si>
  <si>
    <t>Olivera</t>
  </si>
  <si>
    <t>Scalvini</t>
  </si>
  <si>
    <t>Colley</t>
  </si>
  <si>
    <t>Stojanovic</t>
  </si>
  <si>
    <t>Casale</t>
  </si>
  <si>
    <t>Koopmeiners</t>
  </si>
  <si>
    <t>De Ketelaere</t>
  </si>
  <si>
    <t>Bonaventura</t>
  </si>
  <si>
    <t>Luis Alberto</t>
  </si>
  <si>
    <t>Chiesa</t>
  </si>
  <si>
    <t>Vlasic</t>
  </si>
  <si>
    <t>Barella</t>
  </si>
  <si>
    <t>Pellegrini Lo.</t>
  </si>
  <si>
    <t>Calhanoglu</t>
  </si>
  <si>
    <t>Brozovic</t>
  </si>
  <si>
    <t>Strefezza</t>
  </si>
  <si>
    <t>Lukic</t>
  </si>
  <si>
    <t>Orsolini</t>
  </si>
  <si>
    <t>Pasalic</t>
  </si>
  <si>
    <t>Malinovskyi</t>
  </si>
  <si>
    <t>Radonjic</t>
  </si>
  <si>
    <t>Lobotka</t>
  </si>
  <si>
    <t>Diaz B.</t>
  </si>
  <si>
    <t>Miguel Veloso</t>
  </si>
  <si>
    <t>Barak</t>
  </si>
  <si>
    <t>Locatelli</t>
  </si>
  <si>
    <t>Zambo Anguissa</t>
  </si>
  <si>
    <t>Paredes</t>
  </si>
  <si>
    <t>Marin</t>
  </si>
  <si>
    <t>Cuadrado</t>
  </si>
  <si>
    <t>Vilhena</t>
  </si>
  <si>
    <t>Elmas</t>
  </si>
  <si>
    <t>El Shaarawy</t>
  </si>
  <si>
    <t>Tameze</t>
  </si>
  <si>
    <t>Pessina</t>
  </si>
  <si>
    <t>Kovalenko</t>
  </si>
  <si>
    <t>Ndombele'</t>
  </si>
  <si>
    <t>Verdi</t>
  </si>
  <si>
    <t>Maggiore</t>
  </si>
  <si>
    <t>Bajrami</t>
  </si>
  <si>
    <t>Colpani</t>
  </si>
  <si>
    <t>Politano</t>
  </si>
  <si>
    <t>Mckennie</t>
  </si>
  <si>
    <t>Makengo</t>
  </si>
  <si>
    <t>Djuricic</t>
  </si>
  <si>
    <t>Lukaku</t>
  </si>
  <si>
    <t>Berardi</t>
  </si>
  <si>
    <t>Vlahovic</t>
  </si>
  <si>
    <t>Deulofeu</t>
  </si>
  <si>
    <t>Rafael Leao</t>
  </si>
  <si>
    <t>Milik</t>
  </si>
  <si>
    <t>Giroud</t>
  </si>
  <si>
    <t>Nzola</t>
  </si>
  <si>
    <t>Martinez L.</t>
  </si>
  <si>
    <t>Di Maria</t>
  </si>
  <si>
    <t>Bonazzoli</t>
  </si>
  <si>
    <t>Satriano</t>
  </si>
  <si>
    <t>Jovic</t>
  </si>
  <si>
    <t>Caputo</t>
  </si>
  <si>
    <t>Petagna</t>
  </si>
  <si>
    <t>Simeone</t>
  </si>
  <si>
    <t>Lasagna</t>
  </si>
  <si>
    <t>Dia</t>
  </si>
  <si>
    <t>Lammers</t>
  </si>
  <si>
    <t>Piatek</t>
  </si>
  <si>
    <t>Lookman</t>
  </si>
  <si>
    <t>Lauriente'</t>
  </si>
  <si>
    <t>Caprari</t>
  </si>
  <si>
    <t>Barrow</t>
  </si>
  <si>
    <t>Gabbiadini</t>
  </si>
  <si>
    <t>Kouame'</t>
  </si>
  <si>
    <t>Botheim</t>
  </si>
  <si>
    <t>Correa</t>
  </si>
  <si>
    <t>Zanimacchia</t>
  </si>
  <si>
    <t>Karamoh</t>
  </si>
  <si>
    <t>))</t>
  </si>
  <si>
    <t>FANTAGHEIS 2023-24</t>
  </si>
  <si>
    <t>BARNEY</t>
  </si>
  <si>
    <t>WINNER</t>
  </si>
  <si>
    <t>Turati</t>
  </si>
  <si>
    <t>Carnesecchi</t>
  </si>
  <si>
    <t>Christensen O.</t>
  </si>
  <si>
    <t>Martinez Jo.</t>
  </si>
  <si>
    <t>Radunovic</t>
  </si>
  <si>
    <t>Boer</t>
  </si>
  <si>
    <t>Pavard</t>
  </si>
  <si>
    <t>Buongiorno</t>
  </si>
  <si>
    <t>Kolasinac</t>
  </si>
  <si>
    <t>Monterisi</t>
  </si>
  <si>
    <t>Kristensen</t>
  </si>
  <si>
    <t>Ebuehi</t>
  </si>
  <si>
    <t>Romagnoli S.</t>
  </si>
  <si>
    <t>Ebosele</t>
  </si>
  <si>
    <t>Natan</t>
  </si>
  <si>
    <t>Mari'</t>
  </si>
  <si>
    <t>Ruggeri</t>
  </si>
  <si>
    <t>Birindelli</t>
  </si>
  <si>
    <t>Caldirola</t>
  </si>
  <si>
    <t>Toljan</t>
  </si>
  <si>
    <t>Kristiansen</t>
  </si>
  <si>
    <t>Sabelli</t>
  </si>
  <si>
    <t>Kamara H.</t>
  </si>
  <si>
    <t>Chukwueze</t>
  </si>
  <si>
    <t>Lindstrom</t>
  </si>
  <si>
    <t>Pulisic</t>
  </si>
  <si>
    <t>Ferguson</t>
  </si>
  <si>
    <t>Ilic</t>
  </si>
  <si>
    <t>Loftus-Cheek</t>
  </si>
  <si>
    <t>Aouar</t>
  </si>
  <si>
    <t>Oudin</t>
  </si>
  <si>
    <t>Kastanos</t>
  </si>
  <si>
    <t>Musah</t>
  </si>
  <si>
    <t>Guendouzi</t>
  </si>
  <si>
    <t>Mazzitelli</t>
  </si>
  <si>
    <t>Fagioli</t>
  </si>
  <si>
    <t>Gagliardini</t>
  </si>
  <si>
    <t>Arthur Melo</t>
  </si>
  <si>
    <t>Folorunsho</t>
  </si>
  <si>
    <t>Freuler</t>
  </si>
  <si>
    <t>Krunic</t>
  </si>
  <si>
    <t>Ramadani</t>
  </si>
  <si>
    <t>Harroui</t>
  </si>
  <si>
    <t>Baldanzi</t>
  </si>
  <si>
    <t>Renato Sanches</t>
  </si>
  <si>
    <t>Rafia</t>
  </si>
  <si>
    <t>Zirkzee</t>
  </si>
  <si>
    <t>Retegui</t>
  </si>
  <si>
    <t>Ngonge</t>
  </si>
  <si>
    <t>Krstovic</t>
  </si>
  <si>
    <t>Caso</t>
  </si>
  <si>
    <t>Karlsson</t>
  </si>
  <si>
    <t>Almqvist</t>
  </si>
  <si>
    <t>Castellanos</t>
  </si>
  <si>
    <t>Sanchez</t>
  </si>
  <si>
    <t>Thauvin</t>
  </si>
  <si>
    <t>Djuric</t>
  </si>
  <si>
    <t>Isaksen</t>
  </si>
  <si>
    <t>Okafor</t>
  </si>
  <si>
    <t>Soule'</t>
  </si>
  <si>
    <t>ISN'T MO IMBROGLIA</t>
  </si>
  <si>
    <t>Sommer</t>
  </si>
  <si>
    <t>Di Gregorio</t>
  </si>
  <si>
    <t>Mandas</t>
  </si>
  <si>
    <t>Di Gennaro</t>
  </si>
  <si>
    <t>Ochoa</t>
  </si>
  <si>
    <t>Posch</t>
  </si>
  <si>
    <t>Acerbi</t>
  </si>
  <si>
    <t>Baschirotto</t>
  </si>
  <si>
    <t>Bellanova</t>
  </si>
  <si>
    <t>Bijol</t>
  </si>
  <si>
    <t>Thiaw</t>
  </si>
  <si>
    <t>Beukema</t>
  </si>
  <si>
    <t>N'dicka</t>
  </si>
  <si>
    <t>Perez N.</t>
  </si>
  <si>
    <t>Dragusin</t>
  </si>
  <si>
    <t>Martin</t>
  </si>
  <si>
    <t>Gendrey</t>
  </si>
  <si>
    <t>Llorente D.</t>
  </si>
  <si>
    <t>Martinez Quarta</t>
  </si>
  <si>
    <t>Oyono</t>
  </si>
  <si>
    <t>Lazaro</t>
  </si>
  <si>
    <t>Luperto</t>
  </si>
  <si>
    <t>Azzi</t>
  </si>
  <si>
    <t>Gallo</t>
  </si>
  <si>
    <t>Vina</t>
  </si>
  <si>
    <t>Zappa</t>
  </si>
  <si>
    <t>Gudmundsson A.</t>
  </si>
  <si>
    <t>Reijnders</t>
  </si>
  <si>
    <t>Kamada</t>
  </si>
  <si>
    <t>Boloca</t>
  </si>
  <si>
    <t>Aebischer</t>
  </si>
  <si>
    <t>Matheus Henrique</t>
  </si>
  <si>
    <t>Weah</t>
  </si>
  <si>
    <t>Ndoye</t>
  </si>
  <si>
    <t>Ciurria</t>
  </si>
  <si>
    <t>Frendrup</t>
  </si>
  <si>
    <t>Iling Junior</t>
  </si>
  <si>
    <t>Badelj</t>
  </si>
  <si>
    <t>Jankto</t>
  </si>
  <si>
    <t>Makoumbou</t>
  </si>
  <si>
    <t>Duda</t>
  </si>
  <si>
    <t>Nandez</t>
  </si>
  <si>
    <t>Scamacca</t>
  </si>
  <si>
    <t>Thuram</t>
  </si>
  <si>
    <t>Cheddira</t>
  </si>
  <si>
    <t>Beltran L.</t>
  </si>
  <si>
    <t>Jovane</t>
  </si>
  <si>
    <t>Luvumbo</t>
  </si>
  <si>
    <t>Lucca</t>
  </si>
  <si>
    <t>Mulattieri</t>
  </si>
  <si>
    <t>Cambiaghi</t>
  </si>
  <si>
    <t>Lapadula</t>
  </si>
  <si>
    <t>Brekalo</t>
  </si>
  <si>
    <t>Shomurodov</t>
  </si>
  <si>
    <t>Banda</t>
  </si>
  <si>
    <t>FANTAGHEIS 2024-25</t>
  </si>
  <si>
    <t>BAR NEI</t>
  </si>
  <si>
    <t>Caprile</t>
  </si>
  <si>
    <t>Suzuki</t>
  </si>
  <si>
    <t>Joronen</t>
  </si>
  <si>
    <t>Okoye</t>
  </si>
  <si>
    <t>Ravaglia F.</t>
  </si>
  <si>
    <t>Vasquez D.</t>
  </si>
  <si>
    <t>Pavlovic</t>
  </si>
  <si>
    <t>Dossena</t>
  </si>
  <si>
    <t>Hermoso</t>
  </si>
  <si>
    <t>Sosa B.</t>
  </si>
  <si>
    <t>Delprato</t>
  </si>
  <si>
    <t>Cabal</t>
  </si>
  <si>
    <t>Coulibaly W.</t>
  </si>
  <si>
    <t>Candela</t>
  </si>
  <si>
    <t>Hummels</t>
  </si>
  <si>
    <t>Miranda J.</t>
  </si>
  <si>
    <t>Masina</t>
  </si>
  <si>
    <t>Bisseck</t>
  </si>
  <si>
    <t>Hien</t>
  </si>
  <si>
    <t>Savona</t>
  </si>
  <si>
    <t>Zampano</t>
  </si>
  <si>
    <t>Ehizibue</t>
  </si>
  <si>
    <t>Maldini</t>
  </si>
  <si>
    <t>Neres</t>
  </si>
  <si>
    <t>Fabbian</t>
  </si>
  <si>
    <t>Oristanio</t>
  </si>
  <si>
    <t>Fazzini</t>
  </si>
  <si>
    <t>Brescianini</t>
  </si>
  <si>
    <t>Sohm</t>
  </si>
  <si>
    <t>Bernabe'</t>
  </si>
  <si>
    <t>Tete Morente</t>
  </si>
  <si>
    <t>Busio</t>
  </si>
  <si>
    <t>Kone' M.</t>
  </si>
  <si>
    <t>Marchwinski</t>
  </si>
  <si>
    <t>Tchaouna</t>
  </si>
  <si>
    <t>Duncan</t>
  </si>
  <si>
    <t>Paz N.</t>
  </si>
  <si>
    <t>Adli</t>
  </si>
  <si>
    <t>Felici</t>
  </si>
  <si>
    <t>Leao</t>
  </si>
  <si>
    <t>Dovbyk</t>
  </si>
  <si>
    <t>Yildiz</t>
  </si>
  <si>
    <t>Taremi</t>
  </si>
  <si>
    <t>Kean</t>
  </si>
  <si>
    <t>Noslin</t>
  </si>
  <si>
    <t>Piccoli</t>
  </si>
  <si>
    <t>Adams C.</t>
  </si>
  <si>
    <t>Mihaila</t>
  </si>
  <si>
    <t>Esposito Se.</t>
  </si>
  <si>
    <t>Benedyczak</t>
  </si>
  <si>
    <t>Mbangula</t>
  </si>
  <si>
    <t>CARL</t>
  </si>
  <si>
    <t>FUSTOLOTTI</t>
  </si>
  <si>
    <t>De Gea</t>
  </si>
  <si>
    <t>Ryan</t>
  </si>
  <si>
    <t>Reina</t>
  </si>
  <si>
    <t>Kossounou</t>
  </si>
  <si>
    <t>Palomino</t>
  </si>
  <si>
    <t>Coco</t>
  </si>
  <si>
    <t>Emerson Royal</t>
  </si>
  <si>
    <t>Angelino</t>
  </si>
  <si>
    <t>Dorgu</t>
  </si>
  <si>
    <t>Viti</t>
  </si>
  <si>
    <t>Tchatchoua</t>
  </si>
  <si>
    <t>N'Dicka</t>
  </si>
  <si>
    <t>Mina</t>
  </si>
  <si>
    <t>Tavares N.</t>
  </si>
  <si>
    <t>Vasquez</t>
  </si>
  <si>
    <t>Zanoli</t>
  </si>
  <si>
    <t>Moreno Alb.</t>
  </si>
  <si>
    <t>Circati</t>
  </si>
  <si>
    <t>Sergi Roberto</t>
  </si>
  <si>
    <t>Pezzella Giu.</t>
  </si>
  <si>
    <t>Idzes</t>
  </si>
  <si>
    <t>Gaspar K.</t>
  </si>
  <si>
    <t>Ismajli</t>
  </si>
  <si>
    <t>Rovella</t>
  </si>
  <si>
    <t>Man</t>
  </si>
  <si>
    <t>Douglas Luiz</t>
  </si>
  <si>
    <t>Suslov</t>
  </si>
  <si>
    <t>McTominay</t>
  </si>
  <si>
    <t>Ekkelenkamp</t>
  </si>
  <si>
    <t>Thuram K.</t>
  </si>
  <si>
    <t>Gaetano</t>
  </si>
  <si>
    <t>Conceicao</t>
  </si>
  <si>
    <t>Le Fee</t>
  </si>
  <si>
    <t>Da Cunha</t>
  </si>
  <si>
    <t>Pierret</t>
  </si>
  <si>
    <t>Zurkowski</t>
  </si>
  <si>
    <t>Deiola</t>
  </si>
  <si>
    <t>Dele-Bashiru</t>
  </si>
  <si>
    <t>Pohjanpalo</t>
  </si>
  <si>
    <t>Vitinha O.</t>
  </si>
  <si>
    <t>Tengstedt</t>
  </si>
  <si>
    <t>Bonny</t>
  </si>
  <si>
    <t>Brenner</t>
  </si>
  <si>
    <t>Morata</t>
  </si>
  <si>
    <t>Cutrone</t>
  </si>
  <si>
    <t>Castro S.</t>
  </si>
  <si>
    <t>Dallinga</t>
  </si>
  <si>
    <t>Mosquera</t>
  </si>
  <si>
    <t>Rocha Livramento</t>
  </si>
  <si>
    <t>FANTAGHEIS 2025-26</t>
  </si>
  <si>
    <t>Leali</t>
  </si>
  <si>
    <t>Semper</t>
  </si>
  <si>
    <t>Montipò</t>
  </si>
  <si>
    <t>Gila</t>
  </si>
  <si>
    <t>Estupinan</t>
  </si>
  <si>
    <t>Dodò</t>
  </si>
  <si>
    <t>Solet</t>
  </si>
  <si>
    <t>De Winter</t>
  </si>
  <si>
    <t>Palestra</t>
  </si>
  <si>
    <t>Gabbia</t>
  </si>
  <si>
    <t>Comuzzo</t>
  </si>
  <si>
    <t>Canestrelli</t>
  </si>
  <si>
    <t>Ramon</t>
  </si>
  <si>
    <t>Ranieri L.</t>
  </si>
  <si>
    <t>Kristensen T.</t>
  </si>
  <si>
    <t>Frese</t>
  </si>
  <si>
    <t>Kelly L.</t>
  </si>
  <si>
    <t>Ahanor</t>
  </si>
  <si>
    <t>Djimsiti</t>
  </si>
  <si>
    <t>Heggem</t>
  </si>
  <si>
    <t>Modric</t>
  </si>
  <si>
    <t>Zhegrova</t>
  </si>
  <si>
    <t>Bernabè</t>
  </si>
  <si>
    <t>Odgaard</t>
  </si>
  <si>
    <t>Tramoni M.</t>
  </si>
  <si>
    <t>Sucic P.</t>
  </si>
  <si>
    <t>Rowe</t>
  </si>
  <si>
    <t>Zerbin</t>
  </si>
  <si>
    <t>Stanciu</t>
  </si>
  <si>
    <t>Baturina</t>
  </si>
  <si>
    <t>Bernardeschi</t>
  </si>
  <si>
    <t>Jashari</t>
  </si>
  <si>
    <t>Thorstvedt</t>
  </si>
  <si>
    <t>Gronbaek</t>
  </si>
  <si>
    <t>Fadera</t>
  </si>
  <si>
    <t>Fofana Y.</t>
  </si>
  <si>
    <t>El Aynaoui</t>
  </si>
  <si>
    <t>Soulè</t>
  </si>
  <si>
    <t>Laurientè</t>
  </si>
  <si>
    <t>Davis K.</t>
  </si>
  <si>
    <t>Giovane</t>
  </si>
  <si>
    <t>Orban G.</t>
  </si>
  <si>
    <t>Camarda</t>
  </si>
  <si>
    <t>Sulemana K.</t>
  </si>
  <si>
    <t>Lang</t>
  </si>
  <si>
    <t>Stulic</t>
  </si>
  <si>
    <t>CARLSBERG</t>
  </si>
  <si>
    <t>gay</t>
  </si>
  <si>
    <t>Butez</t>
  </si>
  <si>
    <t>Israel</t>
  </si>
  <si>
    <t>Martinelli T.</t>
  </si>
  <si>
    <t>Sava</t>
  </si>
  <si>
    <t>Akanji</t>
  </si>
  <si>
    <t>Wesley</t>
  </si>
  <si>
    <t>Angori</t>
  </si>
  <si>
    <t>Pongracic</t>
  </si>
  <si>
    <t>Vitik</t>
  </si>
  <si>
    <t>Valle</t>
  </si>
  <si>
    <t>Joao Mario</t>
  </si>
  <si>
    <t>Floriani Mussolini</t>
  </si>
  <si>
    <t>Norton-Cuffy</t>
  </si>
  <si>
    <t>Ostigard</t>
  </si>
  <si>
    <t>Gutierrez</t>
  </si>
  <si>
    <t>Obert</t>
  </si>
  <si>
    <t>Serdar</t>
  </si>
  <si>
    <t>De Bruyne</t>
  </si>
  <si>
    <t>Ederson D.S.</t>
  </si>
  <si>
    <t>Vazquez</t>
  </si>
  <si>
    <t>Konè M.</t>
  </si>
  <si>
    <t>Atta</t>
  </si>
  <si>
    <t>Pierotti</t>
  </si>
  <si>
    <t>Vandeputte</t>
  </si>
  <si>
    <t>Casadei</t>
  </si>
  <si>
    <t>Ellertsson</t>
  </si>
  <si>
    <t>Carboni V.</t>
  </si>
  <si>
    <t>Perrone</t>
  </si>
  <si>
    <t>Collocolo</t>
  </si>
  <si>
    <t>Tourè I.</t>
  </si>
  <si>
    <t>Stengs</t>
  </si>
  <si>
    <t>Sorensen O.</t>
  </si>
  <si>
    <t>Bailey</t>
  </si>
  <si>
    <t>Coulibaly L.</t>
  </si>
  <si>
    <t>Asllani</t>
  </si>
  <si>
    <t>David</t>
  </si>
  <si>
    <t>Ferguson E.</t>
  </si>
  <si>
    <t>Openda</t>
  </si>
  <si>
    <t>Douvikas</t>
  </si>
  <si>
    <t>Pellegrino M.</t>
  </si>
  <si>
    <t>Vardy</t>
  </si>
  <si>
    <t>Sarr A.</t>
  </si>
  <si>
    <t>Gimenez</t>
  </si>
  <si>
    <t>Nkunku</t>
  </si>
  <si>
    <t>Cancellieri</t>
  </si>
  <si>
    <t>Kuhn</t>
  </si>
  <si>
    <t>Esposito F.P.</t>
  </si>
  <si>
    <t>Bravo</t>
  </si>
  <si>
    <t>Diao</t>
  </si>
  <si>
    <t>RIASSUNTO FANTAGHEIS 2025-26</t>
  </si>
  <si>
    <t>Fantallenatore</t>
  </si>
  <si>
    <t>giocatore</t>
  </si>
  <si>
    <t>quota</t>
  </si>
  <si>
    <t>Ruolo</t>
  </si>
  <si>
    <t>Taffo</t>
  </si>
  <si>
    <t>P</t>
  </si>
  <si>
    <t>D</t>
  </si>
  <si>
    <t>C</t>
  </si>
  <si>
    <t>A</t>
  </si>
  <si>
    <t>Fore</t>
  </si>
  <si>
    <t>Burney</t>
  </si>
  <si>
    <t>Alfio</t>
  </si>
  <si>
    <t>Ale</t>
  </si>
  <si>
    <t>Carl</t>
  </si>
  <si>
    <t>Ismo</t>
  </si>
  <si>
    <t>Lomba</t>
  </si>
  <si>
    <t>Niub</t>
  </si>
  <si>
    <t>Fusto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</si>
  <si>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</si>
  <si>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</si>
  <si>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</si>
  <si>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</si>
  <si>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</si>
  <si>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</si>
  <si>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</si>
  <si>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</si>
  <si>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</si>
  <si>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</si>
  <si>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</si>
  <si>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</si>
  <si>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</si>
  <si>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Por</t>
  </si>
  <si>
    <t>Milan</t>
  </si>
  <si>
    <t>Roma</t>
  </si>
  <si>
    <t>Atalanta</t>
  </si>
  <si>
    <t>Napoli</t>
  </si>
  <si>
    <t>Como</t>
  </si>
  <si>
    <t>Lazio</t>
  </si>
  <si>
    <t>Juventus</t>
  </si>
  <si>
    <t>Lecce</t>
  </si>
  <si>
    <t>Cremonese</t>
  </si>
  <si>
    <t>Inter</t>
  </si>
  <si>
    <t>Cagliari</t>
  </si>
  <si>
    <t>Muric</t>
  </si>
  <si>
    <t>Sassuolo</t>
  </si>
  <si>
    <t>Fiorentina</t>
  </si>
  <si>
    <t>Corvi</t>
  </si>
  <si>
    <t>Parma</t>
  </si>
  <si>
    <t>Udinese</t>
  </si>
  <si>
    <t>Bologna</t>
  </si>
  <si>
    <t>Genoa</t>
  </si>
  <si>
    <t>Bijlow</t>
  </si>
  <si>
    <t>Pisa</t>
  </si>
  <si>
    <t>Verona</t>
  </si>
  <si>
    <t>Paleari</t>
  </si>
  <si>
    <t>Torino</t>
  </si>
  <si>
    <t>Padelli</t>
  </si>
  <si>
    <t>Rinaldi</t>
  </si>
  <si>
    <t>Perilli</t>
  </si>
  <si>
    <t>Scuffet</t>
  </si>
  <si>
    <t>Pessina Mas.</t>
  </si>
  <si>
    <t>Ciocci</t>
  </si>
  <si>
    <t>Vigorito</t>
  </si>
  <si>
    <t>Nava</t>
  </si>
  <si>
    <t>Siegrist</t>
  </si>
  <si>
    <t>Sommariva</t>
  </si>
  <si>
    <t>Furlanetto</t>
  </si>
  <si>
    <t>Fruchtl</t>
  </si>
  <si>
    <t>Samooja</t>
  </si>
  <si>
    <t>Torriani</t>
  </si>
  <si>
    <t>Nicolas</t>
  </si>
  <si>
    <t>Zelezny</t>
  </si>
  <si>
    <t>Satalino</t>
  </si>
  <si>
    <t>Nunziante</t>
  </si>
  <si>
    <t>Lezzerini</t>
  </si>
  <si>
    <t>Toniolo</t>
  </si>
  <si>
    <t>Cavlina</t>
  </si>
  <si>
    <t>Ferrante</t>
  </si>
  <si>
    <t>Calligaris</t>
  </si>
  <si>
    <t>Tornqvist</t>
  </si>
  <si>
    <t>Sherri</t>
  </si>
  <si>
    <t>Motta</t>
  </si>
  <si>
    <t>E</t>
  </si>
  <si>
    <t>Ds;E</t>
  </si>
  <si>
    <t>Dc</t>
  </si>
  <si>
    <t>Kempf</t>
  </si>
  <si>
    <t>B;Dd;E</t>
  </si>
  <si>
    <t>Dd;E</t>
  </si>
  <si>
    <t>Holm</t>
  </si>
  <si>
    <t>B;Ds;E</t>
  </si>
  <si>
    <t>Bartesaghi</t>
  </si>
  <si>
    <t>Dd;Dc</t>
  </si>
  <si>
    <t>Kabasele</t>
  </si>
  <si>
    <t>Ds;Dc</t>
  </si>
  <si>
    <t>Dd;Ds;E</t>
  </si>
  <si>
    <t>Terracciano F.</t>
  </si>
  <si>
    <t>Maripan</t>
  </si>
  <si>
    <t>Belghali</t>
  </si>
  <si>
    <t>Barbieri</t>
  </si>
  <si>
    <t>Tiago Gabriel</t>
  </si>
  <si>
    <t>Idrissi R.</t>
  </si>
  <si>
    <t>Muharemovic</t>
  </si>
  <si>
    <t>Bernasconi</t>
  </si>
  <si>
    <t>Folino</t>
  </si>
  <si>
    <t>Marcandalli</t>
  </si>
  <si>
    <t>Britschgi</t>
  </si>
  <si>
    <t>Diego Carlos</t>
  </si>
  <si>
    <t>Lucumì</t>
  </si>
  <si>
    <t>Bianchetti</t>
  </si>
  <si>
    <t>Fortini</t>
  </si>
  <si>
    <t>Valenti</t>
  </si>
  <si>
    <t>Caracciolo A.</t>
  </si>
  <si>
    <t>Walukiewicz</t>
  </si>
  <si>
    <t>Bertola</t>
  </si>
  <si>
    <t>Obrador</t>
  </si>
  <si>
    <t>Pellegrini Lu.</t>
  </si>
  <si>
    <t>Veiga D.</t>
  </si>
  <si>
    <t>Calabresi</t>
  </si>
  <si>
    <t>Rensch</t>
  </si>
  <si>
    <t>Bradaric</t>
  </si>
  <si>
    <t>Smolcic I.</t>
  </si>
  <si>
    <t>Pedersen</t>
  </si>
  <si>
    <t>Ghilardi</t>
  </si>
  <si>
    <t>Slotsager</t>
  </si>
  <si>
    <t>Nelsson</t>
  </si>
  <si>
    <t>Bella-Kotchap</t>
  </si>
  <si>
    <t>Ziolkowski</t>
  </si>
  <si>
    <t>Tsimikas</t>
  </si>
  <si>
    <t>Lirola</t>
  </si>
  <si>
    <t>Zatterstrom</t>
  </si>
  <si>
    <t>Provstgaard</t>
  </si>
  <si>
    <t>Ndaba</t>
  </si>
  <si>
    <t>Zemura</t>
  </si>
  <si>
    <t>Valentini N.</t>
  </si>
  <si>
    <t>Athekame</t>
  </si>
  <si>
    <t>Siebert</t>
  </si>
  <si>
    <t>Rodriguez Ju.</t>
  </si>
  <si>
    <t>Albiol</t>
  </si>
  <si>
    <t>Helland</t>
  </si>
  <si>
    <t>Garcia U.</t>
  </si>
  <si>
    <t>Mlacic</t>
  </si>
  <si>
    <t>Van Der Brempt</t>
  </si>
  <si>
    <t>Ceccherini</t>
  </si>
  <si>
    <t>Otoa</t>
  </si>
  <si>
    <t>Rugani</t>
  </si>
  <si>
    <t>Marianucci</t>
  </si>
  <si>
    <t>Coppola F.</t>
  </si>
  <si>
    <t>Ebosse</t>
  </si>
  <si>
    <t>Candè</t>
  </si>
  <si>
    <t>Cham</t>
  </si>
  <si>
    <t>Troilo</t>
  </si>
  <si>
    <t>Nkounkou</t>
  </si>
  <si>
    <t>Faye</t>
  </si>
  <si>
    <t>Zè Pedro</t>
  </si>
  <si>
    <t>Bozhinov</t>
  </si>
  <si>
    <t>Carboni F.</t>
  </si>
  <si>
    <t>Edmundsson</t>
  </si>
  <si>
    <t>Goldaniga</t>
  </si>
  <si>
    <t>Gigot</t>
  </si>
  <si>
    <t>Hysaj</t>
  </si>
  <si>
    <t>Jean</t>
  </si>
  <si>
    <t>Perez M.</t>
  </si>
  <si>
    <t>Romagna</t>
  </si>
  <si>
    <t>Pieragnolo</t>
  </si>
  <si>
    <t>Oyegoke</t>
  </si>
  <si>
    <t>Denoon</t>
  </si>
  <si>
    <t>Ndiaye</t>
  </si>
  <si>
    <t>Kouadio</t>
  </si>
  <si>
    <t>Lamptey</t>
  </si>
  <si>
    <t>Odogu</t>
  </si>
  <si>
    <t>Arizala</t>
  </si>
  <si>
    <t>Raterink</t>
  </si>
  <si>
    <t>Pedro Felipe</t>
  </si>
  <si>
    <t>T;A</t>
  </si>
  <si>
    <t>M;C</t>
  </si>
  <si>
    <t>C;T</t>
  </si>
  <si>
    <t>W;A</t>
  </si>
  <si>
    <t>T</t>
  </si>
  <si>
    <t>Mandragora</t>
  </si>
  <si>
    <t>E;W</t>
  </si>
  <si>
    <t>Konè I.</t>
  </si>
  <si>
    <t>Thorsby</t>
  </si>
  <si>
    <t>McKennie</t>
  </si>
  <si>
    <t>Caqueret</t>
  </si>
  <si>
    <t>C;W;T</t>
  </si>
  <si>
    <t>W;T</t>
  </si>
  <si>
    <t>Basic</t>
  </si>
  <si>
    <t>Taylor K.</t>
  </si>
  <si>
    <t>W</t>
  </si>
  <si>
    <t>Cataldi</t>
  </si>
  <si>
    <t>Berisha M.</t>
  </si>
  <si>
    <t>Volpato</t>
  </si>
  <si>
    <t>C;W</t>
  </si>
  <si>
    <t>Leris</t>
  </si>
  <si>
    <t>E;M</t>
  </si>
  <si>
    <t>Karlstrom</t>
  </si>
  <si>
    <t>Matic</t>
  </si>
  <si>
    <t>Harrison</t>
  </si>
  <si>
    <t>Bernede</t>
  </si>
  <si>
    <t>Moro N.</t>
  </si>
  <si>
    <t>Keita M.</t>
  </si>
  <si>
    <t>Piotrowski</t>
  </si>
  <si>
    <t>Adopo</t>
  </si>
  <si>
    <t>Bondo</t>
  </si>
  <si>
    <t>Payero</t>
  </si>
  <si>
    <t>Lorran</t>
  </si>
  <si>
    <t>Gandelman</t>
  </si>
  <si>
    <t>Loyola</t>
  </si>
  <si>
    <t>Zaragoza</t>
  </si>
  <si>
    <t>Santos A.</t>
  </si>
  <si>
    <t>Prati</t>
  </si>
  <si>
    <t>Ndour</t>
  </si>
  <si>
    <t>Luis Henrique</t>
  </si>
  <si>
    <t>Gilmour</t>
  </si>
  <si>
    <t>Akinsanmiro</t>
  </si>
  <si>
    <t>Pisilli</t>
  </si>
  <si>
    <t>Grassi</t>
  </si>
  <si>
    <t>Masini</t>
  </si>
  <si>
    <t>Estevez</t>
  </si>
  <si>
    <t>Ondrejka</t>
  </si>
  <si>
    <t>Piccinini G.</t>
  </si>
  <si>
    <t>Iannoni</t>
  </si>
  <si>
    <t>Niasse</t>
  </si>
  <si>
    <t>W;T;A</t>
  </si>
  <si>
    <t>Amorim</t>
  </si>
  <si>
    <t>Maleh</t>
  </si>
  <si>
    <t>Marin M.</t>
  </si>
  <si>
    <t>Lipani</t>
  </si>
  <si>
    <t>Gineitis</t>
  </si>
  <si>
    <t>Belahyane</t>
  </si>
  <si>
    <t>Miller L.</t>
  </si>
  <si>
    <t>Adzic</t>
  </si>
  <si>
    <t>Al-Musrati</t>
  </si>
  <si>
    <t>Nicolussi Caviglia</t>
  </si>
  <si>
    <t>Bakola</t>
  </si>
  <si>
    <t>Sulemana I.</t>
  </si>
  <si>
    <t>Helgason</t>
  </si>
  <si>
    <t>Ordonez C.</t>
  </si>
  <si>
    <t>Vural</t>
  </si>
  <si>
    <t>Anjorin</t>
  </si>
  <si>
    <t>Zarraga</t>
  </si>
  <si>
    <t>Ilkhan</t>
  </si>
  <si>
    <t>Vergara</t>
  </si>
  <si>
    <t>Diouf</t>
  </si>
  <si>
    <t>Vranckx</t>
  </si>
  <si>
    <t>Gorter</t>
  </si>
  <si>
    <t>Onana J.</t>
  </si>
  <si>
    <t>Cornet</t>
  </si>
  <si>
    <t>Akpa Akpro</t>
  </si>
  <si>
    <t>Przyborek</t>
  </si>
  <si>
    <t>Lahdo</t>
  </si>
  <si>
    <t>Liteta</t>
  </si>
  <si>
    <t>Venturino</t>
  </si>
  <si>
    <t>Hojholt</t>
  </si>
  <si>
    <t>Cuenca H.</t>
  </si>
  <si>
    <t>Sala A.</t>
  </si>
  <si>
    <t>Cremaschi</t>
  </si>
  <si>
    <t>Fofana Sa.</t>
  </si>
  <si>
    <t>Ngom</t>
  </si>
  <si>
    <t>Pc</t>
  </si>
  <si>
    <t>Moreo</t>
  </si>
  <si>
    <t>Durosinmi</t>
  </si>
  <si>
    <t>Malen</t>
  </si>
  <si>
    <t>Kilicsoy</t>
  </si>
  <si>
    <t>Fullkrug</t>
  </si>
  <si>
    <t>Ratkov</t>
  </si>
  <si>
    <t>Borrelli</t>
  </si>
  <si>
    <t>Rodriguez Je.</t>
  </si>
  <si>
    <t>Addai</t>
  </si>
  <si>
    <t>Ekuban</t>
  </si>
  <si>
    <t>Ekhator</t>
  </si>
  <si>
    <t>N'Dri</t>
  </si>
  <si>
    <t>Vaz</t>
  </si>
  <si>
    <t>Meister</t>
  </si>
  <si>
    <t>Buksa</t>
  </si>
  <si>
    <t>Solomon</t>
  </si>
  <si>
    <t>Njie</t>
  </si>
  <si>
    <t>Bowie</t>
  </si>
  <si>
    <t>Boga</t>
  </si>
  <si>
    <t>Dominguez B.</t>
  </si>
  <si>
    <t>Kulenovic</t>
  </si>
  <si>
    <t>Stojilkovic</t>
  </si>
  <si>
    <t>Bayo V.</t>
  </si>
  <si>
    <t>Aboukhlal</t>
  </si>
  <si>
    <t>Moro L.</t>
  </si>
  <si>
    <t>Moumbagna</t>
  </si>
  <si>
    <t>Gueye</t>
  </si>
  <si>
    <t>Isaac</t>
  </si>
  <si>
    <t>Pavoletti</t>
  </si>
  <si>
    <t>Frigan</t>
  </si>
  <si>
    <t>Kouamè</t>
  </si>
  <si>
    <t>Balentien</t>
  </si>
  <si>
    <t>Arena A.</t>
  </si>
  <si>
    <t>Trepy</t>
  </si>
  <si>
    <t>Albarracin</t>
  </si>
  <si>
    <t>Elphege</t>
  </si>
  <si>
    <t>Pierini</t>
  </si>
  <si>
    <t>Ambrosino</t>
  </si>
  <si>
    <t>Buffon L.</t>
  </si>
  <si>
    <t>Skjellerup</t>
  </si>
  <si>
    <t>SVINCOLATI</t>
  </si>
  <si>
    <r>
      <rPr>
        <rFont val="Calibri"/>
        <b/>
        <color theme="1"/>
      </rPr>
      <t xml:space="preserve">NOTA BENE: </t>
    </r>
    <r>
      <rPr>
        <rFont val="Calibri"/>
        <b/>
        <color rgb="FFE06666"/>
      </rPr>
      <t>ROSSO</t>
    </r>
    <r>
      <rPr>
        <rFont val="Calibri"/>
        <b/>
        <color theme="1"/>
      </rPr>
      <t xml:space="preserve"> = NON TOCCARE! SI COMPILA DA SOLO</t>
    </r>
  </si>
  <si>
    <t>COMPILA</t>
  </si>
  <si>
    <t>NON TOCCARE</t>
  </si>
  <si>
    <t>Nomi fantallenatori da usare</t>
  </si>
  <si>
    <t>Giocatore da svincolare</t>
  </si>
  <si>
    <t>E' andato all'estero?</t>
  </si>
  <si>
    <t>Prezzo D'acquisto asta</t>
  </si>
  <si>
    <t>Prezzo Q.A.Fantacalcio</t>
  </si>
  <si>
    <t>Prezzo svincolo</t>
  </si>
  <si>
    <t>LEGENDA:</t>
  </si>
  <si>
    <t>No</t>
  </si>
  <si>
    <r>
      <rPr>
        <rFont val="Calibri"/>
        <b/>
        <color theme="1"/>
      </rPr>
      <t>Nome Fantallenatore:</t>
    </r>
    <r>
      <rPr>
        <rFont val="Calibri"/>
        <color theme="1"/>
      </rPr>
      <t xml:space="preserve"> inserite il vostro nome ( vi chiedo cortesemente di inserire il nome che trovate a fianco della tabella)</t>
    </r>
  </si>
  <si>
    <r>
      <rPr>
        <rFont val="Calibri"/>
        <b/>
        <color theme="1"/>
      </rPr>
      <t xml:space="preserve">Giocatore da svincolare: </t>
    </r>
    <r>
      <rPr>
        <rFont val="Calibri"/>
        <color theme="1"/>
      </rPr>
      <t>scrivete il nome del giocatore che volete svincolare  o che è andato all'estero (appena appare il nome dopo aver digitato i primi caratteri, selezionatelo</t>
    </r>
  </si>
  <si>
    <r>
      <rPr>
        <rFont val="Calibri"/>
        <b/>
        <color theme="1"/>
      </rPr>
      <t>E' Andato all'estero?:</t>
    </r>
    <r>
      <rPr>
        <rFont val="Calibri"/>
        <color theme="1"/>
      </rPr>
      <t xml:space="preserve"> è una variabile binaria; mettete Si se è andato all'estero, altrimenti No</t>
    </r>
  </si>
  <si>
    <r>
      <rPr>
        <rFont val="Calibri"/>
        <b/>
        <color theme="1"/>
      </rPr>
      <t>Prezzo D'acquisto asta:</t>
    </r>
    <r>
      <rPr>
        <rFont val="Calibri"/>
        <color theme="1"/>
      </rPr>
      <t xml:space="preserve"> Inserisce il prezzo in automatico a cui avete acquistato il giocatore nell'asta ad inizio anno. Potete prendere il suo valore nel foglio ROSE.</t>
    </r>
  </si>
  <si>
    <r>
      <rPr>
        <rFont val="Calibri"/>
        <b/>
        <color theme="1"/>
      </rPr>
      <t>Prezzo Quota Attuale Fantacalcio:</t>
    </r>
    <r>
      <rPr>
        <rFont val="Calibri"/>
        <color theme="1"/>
      </rPr>
      <t xml:space="preserve"> Prende il prezzo attuale Q.a. in automatico( attenzione non iniziale Q.i.) che trovate nel sito di Fantacalcio indicato sotto in questo foglio.</t>
    </r>
  </si>
  <si>
    <r>
      <rPr>
        <rFont val="Calibri"/>
        <b/>
        <color theme="1"/>
      </rPr>
      <t>Prezzo Svincolo:</t>
    </r>
    <r>
      <rPr>
        <rFont val="Calibri"/>
        <color theme="1"/>
      </rPr>
      <t xml:space="preserve"> sarà il prezzo che recupererete effettivamente dallo svincolo del giocatore, è una formula non va compilato</t>
    </r>
  </si>
  <si>
    <t>Si</t>
  </si>
  <si>
    <t>LINK QUOTAZIONI</t>
  </si>
  <si>
    <t>https://www.fantacalcio.it/quotazioni-fantacalcio</t>
  </si>
  <si>
    <t>(Oppure guardate il foglio Lista che mi occuperò personalmente di aggiornare)</t>
  </si>
  <si>
    <t>GIALLO: SVINCOLATO</t>
  </si>
  <si>
    <t xml:space="preserve">Nel foglio RIASSUNTO SVINCOLATI, saprete il numero giocatori svincolati e quindi da acquistare
</t>
  </si>
  <si>
    <t>al mercato riparazione. Non dovrete fare altro che compilare solamente questa tabella svincolati come indicato.</t>
  </si>
  <si>
    <t>FORMULA SVINCOLO GIOCATORE:</t>
  </si>
  <si>
    <t>Prezzo svincolo = min(Prezzo d'acquisto asta, (Prezzo Q.a. Fantalcalcio)*2)/2</t>
  </si>
  <si>
    <t>( il *2 è dovuto perchè le quotazioni Fantacalcio sono tarate su 250, mentre le nostre su 500</t>
  </si>
  <si>
    <t>RIASSUNTO FANTAMILIONI</t>
  </si>
  <si>
    <t>RUOLI SVINCOLATI</t>
  </si>
  <si>
    <t>RUOLI RIMPIAZZATI</t>
  </si>
  <si>
    <t>RUOLI RIMANENTI</t>
  </si>
  <si>
    <t>Numero giocatori svincolati</t>
  </si>
  <si>
    <t>Guadagno da svincoli</t>
  </si>
  <si>
    <t>Soldi rimanenti dall'asta</t>
  </si>
  <si>
    <t>Soldi aggiuntivi per l'asta di riparazione</t>
  </si>
  <si>
    <t>Fantamilioni a disposizione</t>
  </si>
  <si>
    <t>Giocatore 1</t>
  </si>
  <si>
    <t>Prezzo 1</t>
  </si>
  <si>
    <t>Ruolo 1</t>
  </si>
  <si>
    <t>Giocatore 2</t>
  </si>
  <si>
    <t>Prezzo 2</t>
  </si>
  <si>
    <t>Ruolo 2</t>
  </si>
  <si>
    <t>Giocatore 3</t>
  </si>
  <si>
    <t>Prezzo 3</t>
  </si>
  <si>
    <t>Ruolo 3</t>
  </si>
  <si>
    <t>Giocatore 4</t>
  </si>
  <si>
    <t>Prezzo 4</t>
  </si>
  <si>
    <t>Ruolo 4</t>
  </si>
  <si>
    <t>Giocatore 5</t>
  </si>
  <si>
    <t>Prezzo 5</t>
  </si>
  <si>
    <t>Ruolo 5</t>
  </si>
  <si>
    <t>Giocatore 6</t>
  </si>
  <si>
    <t>Prezzo 6</t>
  </si>
  <si>
    <t>Ruolo 6</t>
  </si>
  <si>
    <t>Giocatore 7</t>
  </si>
  <si>
    <t>Prezzo 7</t>
  </si>
  <si>
    <t>Ruolo 7</t>
  </si>
  <si>
    <t>Giocatore 8</t>
  </si>
  <si>
    <t>Prezzo 8</t>
  </si>
  <si>
    <t>Ruolo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</si>
</sst>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  <font>
      <b/>
      <sz val="24.0"/>
      <color rgb="FFFF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36.0"/>
      <color theme="1"/>
      <name val="Calibri"/>
      <scheme val="minor"/>
    </font>
    <font>
      <b/>
      <color rgb="FFFF0000"/>
      <name val="Calibri"/>
      <scheme val="minor"/>
    </font>
    <font>
      <u/>
      <color rgb="FF0563C1"/>
    </font>
    <font>
      <sz val="11.0"/>
      <color rgb="FF000000"/>
      <name val="Inconsolata"/>
    </font>
    <font>
      <b/>
      <sz val="36.0"/>
      <color theme="1"/>
      <name val="Calibri"/>
      <scheme val="minor"/>
    </font>
    <font>
      <b/>
      <sz val="18.0"/>
      <color theme="1"/>
      <name val="Calibri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7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/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/>
      <bottom/>
    </border>
    <border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bottom style="medium">
        <color rgb="FF000000"/>
      </bottom>
    </border>
    <border>
      <left/>
      <right style="medium">
        <color rgb="FF000000"/>
      </right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4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2" fillId="6" fontId="1" numFmtId="0" xfId="0" applyAlignment="1" applyBorder="1" applyFill="1" applyFont="1">
      <alignment readingOrder="0"/>
    </xf>
    <xf borderId="3" fillId="7" fontId="1" numFmtId="0" xfId="0" applyAlignment="1" applyBorder="1" applyFill="1" applyFont="1">
      <alignment readingOrder="0"/>
    </xf>
    <xf borderId="3" fillId="6" fontId="1" numFmtId="0" xfId="0" applyAlignment="1" applyBorder="1" applyFont="1">
      <alignment readingOrder="0"/>
    </xf>
    <xf borderId="5" fillId="4" fontId="1" numFmtId="0" xfId="0" applyAlignment="1" applyBorder="1" applyFont="1">
      <alignment readingOrder="0"/>
    </xf>
    <xf borderId="6" fillId="5" fontId="3" numFmtId="0" xfId="0" applyAlignment="1" applyBorder="1" applyFont="1">
      <alignment readingOrder="0"/>
    </xf>
    <xf borderId="0" fillId="6" fontId="3" numFmtId="0" xfId="0" applyAlignment="1" applyFont="1">
      <alignment readingOrder="0"/>
    </xf>
    <xf borderId="7" fillId="7" fontId="3" numFmtId="0" xfId="0" applyAlignment="1" applyBorder="1" applyFont="1">
      <alignment readingOrder="0"/>
    </xf>
    <xf borderId="7" fillId="6" fontId="3" numFmtId="0" xfId="0" applyAlignment="1" applyBorder="1" applyFont="1">
      <alignment readingOrder="0"/>
    </xf>
    <xf borderId="8" fillId="4" fontId="1" numFmtId="0" xfId="0" applyAlignment="1" applyBorder="1" applyFont="1">
      <alignment readingOrder="0"/>
    </xf>
    <xf borderId="9" fillId="5" fontId="3" numFmtId="0" xfId="0" applyBorder="1" applyFont="1"/>
    <xf borderId="10" fillId="6" fontId="3" numFmtId="0" xfId="0" applyBorder="1" applyFont="1"/>
    <xf borderId="11" fillId="7" fontId="3" numFmtId="0" xfId="0" applyBorder="1" applyFont="1"/>
    <xf borderId="11" fillId="6" fontId="3" numFmtId="0" xfId="0" applyBorder="1" applyFont="1"/>
    <xf borderId="12" fillId="0" fontId="4" numFmtId="0" xfId="0" applyAlignment="1" applyBorder="1" applyFon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12" fillId="8" fontId="5" numFmtId="0" xfId="0" applyAlignment="1" applyBorder="1" applyFill="1" applyFont="1">
      <alignment horizontal="center"/>
    </xf>
    <xf borderId="12" fillId="8" fontId="5" numFmtId="0" xfId="0" applyAlignment="1" applyBorder="1" applyFont="1">
      <alignment horizontal="center" readingOrder="0"/>
    </xf>
    <xf borderId="15" fillId="8" fontId="5" numFmtId="0" xfId="0" applyBorder="1" applyFont="1"/>
    <xf borderId="16" fillId="8" fontId="6" numFmtId="0" xfId="0" applyBorder="1" applyFont="1"/>
    <xf borderId="16" fillId="8" fontId="5" numFmtId="0" xfId="0" applyBorder="1" applyFont="1"/>
    <xf borderId="17" fillId="8" fontId="5" numFmtId="0" xfId="0" applyBorder="1" applyFont="1"/>
    <xf borderId="18" fillId="8" fontId="5" numFmtId="0" xfId="0" applyBorder="1" applyFont="1"/>
    <xf borderId="19" fillId="8" fontId="6" numFmtId="0" xfId="0" applyBorder="1" applyFont="1"/>
    <xf borderId="19" fillId="8" fontId="5" numFmtId="0" xfId="0" applyBorder="1" applyFont="1"/>
    <xf borderId="20" fillId="9" fontId="6" numFmtId="0" xfId="0" applyBorder="1" applyFill="1" applyFont="1"/>
    <xf borderId="21" fillId="9" fontId="6" numFmtId="0" xfId="0" applyAlignment="1" applyBorder="1" applyFont="1">
      <alignment horizontal="center" readingOrder="0"/>
    </xf>
    <xf borderId="22" fillId="0" fontId="2" numFmtId="0" xfId="0" applyBorder="1" applyFont="1"/>
    <xf borderId="23" fillId="9" fontId="6" numFmtId="0" xfId="0" applyAlignment="1" applyBorder="1" applyFont="1">
      <alignment readingOrder="0"/>
    </xf>
    <xf borderId="24" fillId="9" fontId="6" numFmtId="0" xfId="0" applyBorder="1" applyFont="1"/>
    <xf borderId="25" fillId="9" fontId="6" numFmtId="0" xfId="0" applyBorder="1" applyFont="1"/>
    <xf borderId="26" fillId="9" fontId="6" numFmtId="0" xfId="0" applyBorder="1" applyFont="1"/>
    <xf borderId="27" fillId="9" fontId="5" numFmtId="0" xfId="0" applyBorder="1" applyFont="1"/>
    <xf borderId="28" fillId="9" fontId="6" numFmtId="0" xfId="0" applyAlignment="1" applyBorder="1" applyFont="1">
      <alignment horizontal="center" readingOrder="0"/>
    </xf>
    <xf borderId="29" fillId="9" fontId="6" numFmtId="0" xfId="0" applyAlignment="1" applyBorder="1" applyFont="1">
      <alignment readingOrder="0"/>
    </xf>
    <xf borderId="27" fillId="9" fontId="6" numFmtId="0" xfId="0" applyBorder="1" applyFont="1"/>
    <xf borderId="30" fillId="9" fontId="6" numFmtId="0" xfId="0" applyAlignment="1" applyBorder="1" applyFont="1">
      <alignment horizontal="center" readingOrder="0"/>
    </xf>
    <xf borderId="31" fillId="0" fontId="2" numFmtId="0" xfId="0" applyBorder="1" applyFont="1"/>
    <xf borderId="32" fillId="9" fontId="6" numFmtId="0" xfId="0" applyAlignment="1" applyBorder="1" applyFont="1">
      <alignment readingOrder="0"/>
    </xf>
    <xf borderId="13" fillId="9" fontId="5" numFmtId="0" xfId="0" applyBorder="1" applyFont="1"/>
    <xf borderId="14" fillId="9" fontId="5" numFmtId="0" xfId="0" applyBorder="1" applyFont="1"/>
    <xf borderId="33" fillId="9" fontId="5" numFmtId="0" xfId="0" applyBorder="1" applyFont="1"/>
    <xf borderId="20" fillId="10" fontId="6" numFmtId="0" xfId="0" applyBorder="1" applyFill="1" applyFont="1"/>
    <xf borderId="21" fillId="10" fontId="6" numFmtId="0" xfId="0" applyAlignment="1" applyBorder="1" applyFont="1">
      <alignment horizontal="center" readingOrder="0"/>
    </xf>
    <xf borderId="23" fillId="10" fontId="6" numFmtId="0" xfId="0" applyAlignment="1" applyBorder="1" applyFont="1">
      <alignment readingOrder="0"/>
    </xf>
    <xf borderId="24" fillId="10" fontId="6" numFmtId="0" xfId="0" applyBorder="1" applyFont="1"/>
    <xf borderId="25" fillId="10" fontId="6" numFmtId="0" xfId="0" applyBorder="1" applyFont="1"/>
    <xf borderId="26" fillId="10" fontId="6" numFmtId="0" xfId="0" applyBorder="1" applyFont="1"/>
    <xf borderId="27" fillId="10" fontId="6" numFmtId="0" xfId="0" applyBorder="1" applyFont="1"/>
    <xf borderId="28" fillId="10" fontId="6" numFmtId="0" xfId="0" applyAlignment="1" applyBorder="1" applyFont="1">
      <alignment horizontal="center" readingOrder="0"/>
    </xf>
    <xf borderId="29" fillId="10" fontId="6" numFmtId="0" xfId="0" applyAlignment="1" applyBorder="1" applyFont="1">
      <alignment readingOrder="0"/>
    </xf>
    <xf borderId="27" fillId="10" fontId="5" numFmtId="0" xfId="0" applyBorder="1" applyFont="1"/>
    <xf borderId="34" fillId="10" fontId="6" numFmtId="0" xfId="0" applyBorder="1" applyFont="1"/>
    <xf borderId="35" fillId="10" fontId="6" numFmtId="0" xfId="0" applyAlignment="1" applyBorder="1" applyFont="1">
      <alignment horizontal="center" readingOrder="0"/>
    </xf>
    <xf borderId="36" fillId="0" fontId="2" numFmtId="0" xfId="0" applyBorder="1" applyFont="1"/>
    <xf borderId="37" fillId="10" fontId="6" numFmtId="0" xfId="0" applyAlignment="1" applyBorder="1" applyFont="1">
      <alignment readingOrder="0"/>
    </xf>
    <xf borderId="13" fillId="10" fontId="5" numFmtId="0" xfId="0" applyBorder="1" applyFont="1"/>
    <xf borderId="14" fillId="10" fontId="5" numFmtId="0" xfId="0" applyBorder="1" applyFont="1"/>
    <xf borderId="33" fillId="10" fontId="5" numFmtId="0" xfId="0" applyBorder="1" applyFont="1"/>
    <xf borderId="20" fillId="11" fontId="6" numFmtId="0" xfId="0" applyBorder="1" applyFill="1" applyFont="1"/>
    <xf borderId="38" fillId="11" fontId="6" numFmtId="0" xfId="0" applyAlignment="1" applyBorder="1" applyFont="1">
      <alignment horizontal="center" readingOrder="0"/>
    </xf>
    <xf borderId="11" fillId="0" fontId="2" numFmtId="0" xfId="0" applyBorder="1" applyFont="1"/>
    <xf borderId="39" fillId="11" fontId="6" numFmtId="0" xfId="0" applyAlignment="1" applyBorder="1" applyFont="1">
      <alignment readingOrder="0"/>
    </xf>
    <xf borderId="24" fillId="11" fontId="6" numFmtId="0" xfId="0" applyBorder="1" applyFont="1"/>
    <xf borderId="25" fillId="11" fontId="6" numFmtId="0" xfId="0" applyBorder="1" applyFont="1"/>
    <xf borderId="26" fillId="11" fontId="6" numFmtId="0" xfId="0" applyBorder="1" applyFont="1"/>
    <xf borderId="27" fillId="11" fontId="6" numFmtId="0" xfId="0" applyBorder="1" applyFont="1"/>
    <xf borderId="28" fillId="11" fontId="6" numFmtId="0" xfId="0" applyAlignment="1" applyBorder="1" applyFont="1">
      <alignment horizontal="center" readingOrder="0"/>
    </xf>
    <xf borderId="29" fillId="11" fontId="6" numFmtId="0" xfId="0" applyAlignment="1" applyBorder="1" applyFont="1">
      <alignment readingOrder="0"/>
    </xf>
    <xf borderId="27" fillId="11" fontId="5" numFmtId="0" xfId="0" applyBorder="1" applyFont="1"/>
    <xf borderId="34" fillId="11" fontId="6" numFmtId="0" xfId="0" applyBorder="1" applyFont="1"/>
    <xf borderId="35" fillId="11" fontId="6" numFmtId="0" xfId="0" applyAlignment="1" applyBorder="1" applyFont="1">
      <alignment horizontal="center" readingOrder="0"/>
    </xf>
    <xf borderId="37" fillId="11" fontId="6" numFmtId="0" xfId="0" applyAlignment="1" applyBorder="1" applyFont="1">
      <alignment readingOrder="0"/>
    </xf>
    <xf borderId="13" fillId="11" fontId="5" numFmtId="0" xfId="0" applyBorder="1" applyFont="1"/>
    <xf borderId="14" fillId="11" fontId="5" numFmtId="0" xfId="0" applyBorder="1" applyFont="1"/>
    <xf borderId="33" fillId="11" fontId="5" numFmtId="0" xfId="0" applyBorder="1" applyFont="1"/>
    <xf borderId="20" fillId="12" fontId="6" numFmtId="0" xfId="0" applyBorder="1" applyFill="1" applyFont="1"/>
    <xf borderId="38" fillId="12" fontId="6" numFmtId="0" xfId="0" applyAlignment="1" applyBorder="1" applyFont="1">
      <alignment horizontal="center" readingOrder="0"/>
    </xf>
    <xf borderId="39" fillId="12" fontId="6" numFmtId="0" xfId="0" applyAlignment="1" applyBorder="1" applyFont="1">
      <alignment readingOrder="0"/>
    </xf>
    <xf borderId="24" fillId="12" fontId="6" numFmtId="0" xfId="0" applyBorder="1" applyFont="1"/>
    <xf borderId="25" fillId="12" fontId="6" numFmtId="0" xfId="0" applyBorder="1" applyFont="1"/>
    <xf borderId="26" fillId="12" fontId="6" numFmtId="0" xfId="0" applyBorder="1" applyFont="1"/>
    <xf borderId="27" fillId="12" fontId="6" numFmtId="0" xfId="0" applyBorder="1" applyFont="1"/>
    <xf borderId="28" fillId="12" fontId="6" numFmtId="0" xfId="0" applyAlignment="1" applyBorder="1" applyFont="1">
      <alignment horizontal="center" readingOrder="0"/>
    </xf>
    <xf borderId="29" fillId="12" fontId="6" numFmtId="0" xfId="0" applyAlignment="1" applyBorder="1" applyFont="1">
      <alignment readingOrder="0"/>
    </xf>
    <xf borderId="27" fillId="12" fontId="5" numFmtId="0" xfId="0" applyBorder="1" applyFont="1"/>
    <xf borderId="34" fillId="12" fontId="6" numFmtId="0" xfId="0" applyBorder="1" applyFont="1"/>
    <xf borderId="35" fillId="12" fontId="6" numFmtId="0" xfId="0" applyAlignment="1" applyBorder="1" applyFont="1">
      <alignment horizontal="center" readingOrder="0"/>
    </xf>
    <xf borderId="37" fillId="12" fontId="6" numFmtId="0" xfId="0" applyAlignment="1" applyBorder="1" applyFont="1">
      <alignment readingOrder="0"/>
    </xf>
    <xf borderId="13" fillId="12" fontId="5" numFmtId="0" xfId="0" applyBorder="1" applyFont="1"/>
    <xf borderId="14" fillId="12" fontId="5" numFmtId="0" xfId="0" applyBorder="1" applyFont="1"/>
    <xf borderId="33" fillId="12" fontId="5" numFmtId="0" xfId="0" applyBorder="1" applyFont="1"/>
    <xf borderId="40" fillId="8" fontId="5" numFmtId="0" xfId="0" applyAlignment="1" applyBorder="1" applyFont="1">
      <alignment horizontal="center"/>
    </xf>
    <xf borderId="41" fillId="0" fontId="2" numFmtId="0" xfId="0" applyBorder="1" applyFont="1"/>
    <xf borderId="26" fillId="8" fontId="6" numFmtId="0" xfId="0" applyBorder="1" applyFont="1"/>
    <xf borderId="33" fillId="8" fontId="5" numFmtId="0" xfId="0" applyBorder="1" applyFont="1"/>
    <xf borderId="42" fillId="8" fontId="6" numFmtId="0" xfId="0" applyBorder="1" applyFont="1"/>
    <xf borderId="43" fillId="9" fontId="6" numFmtId="0" xfId="0" applyBorder="1" applyFont="1"/>
    <xf borderId="44" fillId="9" fontId="5" numFmtId="0" xfId="0" applyBorder="1" applyFont="1"/>
    <xf borderId="44" fillId="9" fontId="6" numFmtId="0" xfId="0" applyBorder="1" applyFont="1"/>
    <xf borderId="43" fillId="10" fontId="6" numFmtId="0" xfId="0" applyBorder="1" applyFont="1"/>
    <xf borderId="44" fillId="10" fontId="6" numFmtId="0" xfId="0" applyBorder="1" applyFont="1"/>
    <xf borderId="44" fillId="10" fontId="5" numFmtId="0" xfId="0" applyBorder="1" applyFont="1"/>
    <xf borderId="45" fillId="10" fontId="6" numFmtId="0" xfId="0" applyBorder="1" applyFont="1"/>
    <xf borderId="43" fillId="11" fontId="6" numFmtId="0" xfId="0" applyBorder="1" applyFont="1"/>
    <xf borderId="44" fillId="11" fontId="6" numFmtId="0" xfId="0" applyBorder="1" applyFont="1"/>
    <xf borderId="44" fillId="11" fontId="5" numFmtId="0" xfId="0" applyBorder="1" applyFont="1"/>
    <xf borderId="45" fillId="11" fontId="6" numFmtId="0" xfId="0" applyBorder="1" applyFont="1"/>
    <xf borderId="43" fillId="12" fontId="6" numFmtId="0" xfId="0" applyBorder="1" applyFont="1"/>
    <xf borderId="44" fillId="12" fontId="6" numFmtId="0" xfId="0" applyBorder="1" applyFont="1"/>
    <xf borderId="44" fillId="12" fontId="5" numFmtId="0" xfId="0" applyBorder="1" applyFont="1"/>
    <xf borderId="45" fillId="12" fontId="6" numFmtId="0" xfId="0" applyBorder="1" applyFont="1"/>
    <xf borderId="46" fillId="9" fontId="6" numFmtId="0" xfId="0" applyAlignment="1" applyBorder="1" applyFont="1">
      <alignment horizontal="center" readingOrder="0"/>
    </xf>
    <xf borderId="47" fillId="0" fontId="2" numFmtId="0" xfId="0" applyBorder="1" applyFont="1"/>
    <xf borderId="33" fillId="8" fontId="5" numFmtId="0" xfId="0" applyAlignment="1" applyBorder="1" applyFont="1">
      <alignment readingOrder="0"/>
    </xf>
    <xf borderId="48" fillId="8" fontId="6" numFmtId="0" xfId="0" applyBorder="1" applyFont="1"/>
    <xf borderId="39" fillId="9" fontId="6" numFmtId="0" xfId="0" applyAlignment="1" applyBorder="1" applyFont="1">
      <alignment readingOrder="0"/>
    </xf>
    <xf borderId="49" fillId="9" fontId="6" numFmtId="0" xfId="0" applyBorder="1" applyFont="1"/>
    <xf borderId="0" fillId="0" fontId="3" numFmtId="0" xfId="0" applyAlignment="1" applyFont="1">
      <alignment readingOrder="0"/>
    </xf>
    <xf borderId="18" fillId="8" fontId="5" numFmtId="0" xfId="0" applyAlignment="1" applyBorder="1" applyFont="1">
      <alignment readingOrder="0"/>
    </xf>
    <xf borderId="19" fillId="8" fontId="5" numFmtId="0" xfId="0" applyAlignment="1" applyBorder="1" applyFont="1">
      <alignment readingOrder="0"/>
    </xf>
    <xf borderId="0" fillId="13" fontId="3" numFmtId="0" xfId="0" applyFill="1" applyFont="1"/>
    <xf borderId="23" fillId="9" fontId="5" numFmtId="0" xfId="0" applyAlignment="1" applyBorder="1" applyFont="1">
      <alignment readingOrder="0"/>
    </xf>
    <xf borderId="23" fillId="10" fontId="5" numFmtId="0" xfId="0" applyAlignment="1" applyBorder="1" applyFont="1">
      <alignment readingOrder="0"/>
    </xf>
    <xf borderId="39" fillId="11" fontId="5" numFmtId="0" xfId="0" applyAlignment="1" applyBorder="1" applyFont="1">
      <alignment readingOrder="0"/>
    </xf>
    <xf borderId="39" fillId="12" fontId="5" numFmtId="0" xfId="0" applyAlignment="1" applyBorder="1" applyFont="1">
      <alignment readingOrder="0"/>
    </xf>
    <xf borderId="17" fillId="14" fontId="5" numFmtId="0" xfId="0" applyBorder="1" applyFill="1" applyFont="1"/>
    <xf borderId="17" fillId="15" fontId="5" numFmtId="0" xfId="0" applyBorder="1" applyFill="1" applyFont="1"/>
    <xf borderId="0" fillId="0" fontId="3" numFmtId="0" xfId="0" applyFont="1"/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center" readingOrder="0"/>
    </xf>
    <xf borderId="50" fillId="16" fontId="1" numFmtId="0" xfId="0" applyAlignment="1" applyBorder="1" applyFill="1" applyFont="1">
      <alignment readingOrder="0"/>
    </xf>
    <xf borderId="51" fillId="0" fontId="2" numFmtId="0" xfId="0" applyBorder="1" applyFont="1"/>
    <xf borderId="52" fillId="0" fontId="2" numFmtId="0" xfId="0" applyBorder="1" applyFont="1"/>
    <xf borderId="0" fillId="0" fontId="1" numFmtId="0" xfId="0" applyAlignment="1" applyFont="1">
      <alignment readingOrder="0"/>
    </xf>
    <xf borderId="53" fillId="17" fontId="1" numFmtId="0" xfId="0" applyAlignment="1" applyBorder="1" applyFill="1" applyFont="1">
      <alignment readingOrder="0"/>
    </xf>
    <xf borderId="53" fillId="18" fontId="1" numFmtId="0" xfId="0" applyAlignment="1" applyBorder="1" applyFill="1" applyFont="1">
      <alignment horizontal="left" readingOrder="0"/>
    </xf>
    <xf borderId="54" fillId="15" fontId="1" numFmtId="0" xfId="0" applyAlignment="1" applyBorder="1" applyFont="1">
      <alignment horizontal="left" readingOrder="0"/>
    </xf>
    <xf borderId="55" fillId="5" fontId="9" numFmtId="0" xfId="0" applyAlignment="1" applyBorder="1" applyFont="1">
      <alignment readingOrder="0"/>
    </xf>
    <xf borderId="56" fillId="0" fontId="2" numFmtId="0" xfId="0" applyBorder="1" applyFont="1"/>
    <xf borderId="57" fillId="0" fontId="2" numFmtId="0" xfId="0" applyBorder="1" applyFont="1"/>
    <xf borderId="58" fillId="19" fontId="1" numFmtId="0" xfId="0" applyAlignment="1" applyBorder="1" applyFill="1" applyFont="1">
      <alignment readingOrder="0"/>
    </xf>
    <xf borderId="59" fillId="19" fontId="1" numFmtId="0" xfId="0" applyAlignment="1" applyBorder="1" applyFont="1">
      <alignment readingOrder="0"/>
    </xf>
    <xf borderId="59" fillId="5" fontId="1" numFmtId="0" xfId="0" applyAlignment="1" applyBorder="1" applyFont="1">
      <alignment readingOrder="0"/>
    </xf>
    <xf borderId="60" fillId="15" fontId="1" numFmtId="0" xfId="0" applyAlignment="1" applyBorder="1" applyFont="1">
      <alignment readingOrder="0"/>
    </xf>
    <xf borderId="61" fillId="5" fontId="3" numFmtId="0" xfId="0" applyAlignment="1" applyBorder="1" applyFont="1">
      <alignment readingOrder="0"/>
    </xf>
    <xf borderId="62" fillId="0" fontId="2" numFmtId="0" xfId="0" applyBorder="1" applyFont="1"/>
    <xf borderId="63" fillId="19" fontId="1" numFmtId="0" xfId="0" applyAlignment="1" applyBorder="1" applyFont="1">
      <alignment readingOrder="0"/>
    </xf>
    <xf borderId="63" fillId="5" fontId="1" numFmtId="0" xfId="0" applyAlignment="1" applyBorder="1" applyFont="1">
      <alignment readingOrder="0"/>
    </xf>
    <xf borderId="63" fillId="15" fontId="1" numFmtId="0" xfId="0" applyAlignment="1" applyBorder="1" applyFont="1">
      <alignment readingOrder="0"/>
    </xf>
    <xf borderId="61" fillId="7" fontId="3" numFmtId="0" xfId="0" applyAlignment="1" applyBorder="1" applyFont="1">
      <alignment readingOrder="0"/>
    </xf>
    <xf borderId="63" fillId="19" fontId="1" numFmtId="0" xfId="0" applyBorder="1" applyFont="1"/>
    <xf borderId="64" fillId="7" fontId="3" numFmtId="0" xfId="0" applyAlignment="1" applyBorder="1" applyFont="1">
      <alignment readingOrder="0"/>
    </xf>
    <xf borderId="65" fillId="0" fontId="2" numFmtId="0" xfId="0" applyBorder="1" applyFont="1"/>
    <xf borderId="66" fillId="0" fontId="2" numFmtId="0" xfId="0" applyBorder="1" applyFont="1"/>
    <xf borderId="67" fillId="19" fontId="1" numFmtId="0" xfId="0" applyAlignment="1" applyBorder="1" applyFont="1">
      <alignment readingOrder="0"/>
    </xf>
    <xf borderId="55" fillId="20" fontId="9" numFmtId="0" xfId="0" applyAlignment="1" applyBorder="1" applyFill="1" applyFont="1">
      <alignment readingOrder="0"/>
    </xf>
    <xf borderId="61" fillId="20" fontId="10" numFmtId="0" xfId="0" applyAlignment="1" applyBorder="1" applyFont="1">
      <alignment readingOrder="0"/>
    </xf>
    <xf borderId="64" fillId="20" fontId="3" numFmtId="0" xfId="0" applyAlignment="1" applyBorder="1" applyFont="1">
      <alignment readingOrder="0"/>
    </xf>
    <xf borderId="0" fillId="5" fontId="3" numFmtId="0" xfId="0" applyFont="1"/>
    <xf borderId="0" fillId="5" fontId="1" numFmtId="0" xfId="0" applyAlignment="1" applyFont="1">
      <alignment readingOrder="0"/>
    </xf>
    <xf borderId="55" fillId="21" fontId="3" numFmtId="0" xfId="0" applyAlignment="1" applyBorder="1" applyFill="1" applyFont="1">
      <alignment readingOrder="0"/>
    </xf>
    <xf borderId="63" fillId="21" fontId="1" numFmtId="0" xfId="0" applyAlignment="1" applyBorder="1" applyFont="1">
      <alignment readingOrder="0"/>
    </xf>
    <xf borderId="64" fillId="21" fontId="11" numFmtId="0" xfId="0" applyAlignment="1" applyBorder="1" applyFont="1">
      <alignment readingOrder="0"/>
    </xf>
    <xf borderId="55" fillId="7" fontId="9" numFmtId="0" xfId="0" applyAlignment="1" applyBorder="1" applyFont="1">
      <alignment readingOrder="0"/>
    </xf>
    <xf borderId="57" fillId="7" fontId="3" numFmtId="0" xfId="0" applyBorder="1" applyFont="1"/>
    <xf borderId="62" fillId="7" fontId="3" numFmtId="0" xfId="0" applyBorder="1" applyFont="1"/>
    <xf borderId="63" fillId="19" fontId="1" numFmtId="0" xfId="0" applyBorder="1" applyFont="1"/>
    <xf borderId="67" fillId="19" fontId="1" numFmtId="0" xfId="0" applyBorder="1" applyFont="1"/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53" fillId="18" fontId="1" numFmtId="0" xfId="0" applyAlignment="1" applyBorder="1" applyFont="1">
      <alignment readingOrder="0"/>
    </xf>
    <xf borderId="53" fillId="15" fontId="1" numFmtId="0" xfId="0" applyAlignment="1" applyBorder="1" applyFont="1">
      <alignment readingOrder="0"/>
    </xf>
    <xf borderId="58" fillId="15" fontId="1" numFmtId="0" xfId="0" applyAlignment="1" applyBorder="1" applyFont="1">
      <alignment readingOrder="0"/>
    </xf>
    <xf borderId="53" fillId="20" fontId="1" numFmtId="0" xfId="0" applyAlignment="1" applyBorder="1" applyFont="1">
      <alignment readingOrder="0"/>
    </xf>
    <xf borderId="68" fillId="20" fontId="1" numFmtId="0" xfId="0" applyAlignment="1" applyBorder="1" applyFont="1">
      <alignment readingOrder="0"/>
    </xf>
    <xf borderId="58" fillId="5" fontId="1" numFmtId="0" xfId="0" applyAlignment="1" applyBorder="1" applyFont="1">
      <alignment readingOrder="0"/>
    </xf>
    <xf borderId="63" fillId="15" fontId="1" numFmtId="0" xfId="0" applyBorder="1" applyFont="1"/>
    <xf borderId="63" fillId="20" fontId="1" numFmtId="0" xfId="0" applyAlignment="1" applyBorder="1" applyFont="1">
      <alignment readingOrder="0"/>
    </xf>
    <xf borderId="69" fillId="20" fontId="1" numFmtId="0" xfId="0" applyAlignment="1" applyBorder="1" applyFont="1">
      <alignment readingOrder="0"/>
    </xf>
    <xf borderId="67" fillId="15" fontId="1" numFmtId="0" xfId="0" applyBorder="1" applyFont="1"/>
    <xf borderId="67" fillId="15" fontId="1" numFmtId="0" xfId="0" applyAlignment="1" applyBorder="1" applyFont="1">
      <alignment readingOrder="0"/>
    </xf>
    <xf borderId="70" fillId="20" fontId="1" numFmtId="0" xfId="0" applyAlignment="1" applyBorder="1" applyFont="1">
      <alignment readingOrder="0"/>
    </xf>
    <xf borderId="71" fillId="20" fontId="1" numFmtId="0" xfId="0" applyAlignment="1" applyBorder="1" applyFont="1">
      <alignment readingOrder="0"/>
    </xf>
    <xf borderId="67" fillId="5" fontId="1" numFmtId="0" xfId="0" applyAlignment="1" applyBorder="1" applyFont="1">
      <alignment readingOrder="0"/>
    </xf>
    <xf borderId="54" fillId="15" fontId="1" numFmtId="0" xfId="0" applyBorder="1" applyFont="1"/>
    <xf borderId="70" fillId="20" fontId="1" numFmtId="0" xfId="0" applyBorder="1" applyFont="1"/>
    <xf borderId="54" fillId="20" fontId="1" numFmtId="0" xfId="0" applyBorder="1" applyFont="1"/>
    <xf borderId="54" fillId="5" fontId="1" numFmtId="0" xfId="0" applyBorder="1" applyFont="1"/>
    <xf borderId="72" fillId="19" fontId="1" numFmtId="0" xfId="0" applyAlignment="1" applyBorder="1" applyFont="1">
      <alignment readingOrder="0"/>
    </xf>
    <xf borderId="73" fillId="19" fontId="1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ntacalcio.it/quotazioni-fantacalcio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6.86"/>
    <col customWidth="1" min="6" max="6" width="21.57"/>
  </cols>
  <sheetData>
    <row r="1">
      <c r="B1" s="1" t="s">
        <v>0</v>
      </c>
      <c r="C1" s="2"/>
      <c r="D1" s="3"/>
      <c r="E1" s="4" t="s">
        <v>1</v>
      </c>
      <c r="F1" s="3"/>
    </row>
    <row r="2">
      <c r="A2" s="5" t="s">
        <v>2</v>
      </c>
      <c r="B2" s="6" t="s">
        <v>3</v>
      </c>
      <c r="C2" s="7" t="s">
        <v>4</v>
      </c>
      <c r="D2" s="8" t="s">
        <v>5</v>
      </c>
      <c r="E2" s="6" t="s">
        <v>6</v>
      </c>
      <c r="F2" s="9" t="s">
        <v>7</v>
      </c>
    </row>
    <row r="3">
      <c r="A3" s="10">
        <v>2018.0</v>
      </c>
      <c r="B3" s="11" t="s">
        <v>8</v>
      </c>
      <c r="C3" s="12" t="s">
        <v>9</v>
      </c>
      <c r="D3" s="13" t="s">
        <v>10</v>
      </c>
      <c r="E3" s="11"/>
      <c r="F3" s="14"/>
    </row>
    <row r="4">
      <c r="A4" s="10">
        <v>2019.0</v>
      </c>
      <c r="B4" s="11" t="s">
        <v>11</v>
      </c>
      <c r="C4" s="12" t="s">
        <v>12</v>
      </c>
      <c r="D4" s="13" t="s">
        <v>10</v>
      </c>
      <c r="E4" s="11" t="s">
        <v>11</v>
      </c>
      <c r="F4" s="14" t="s">
        <v>10</v>
      </c>
    </row>
    <row r="5">
      <c r="A5" s="10">
        <v>2020.0</v>
      </c>
      <c r="B5" s="11" t="s">
        <v>8</v>
      </c>
      <c r="C5" s="12" t="s">
        <v>13</v>
      </c>
      <c r="D5" s="13" t="s">
        <v>14</v>
      </c>
      <c r="E5" s="11" t="s">
        <v>14</v>
      </c>
      <c r="F5" s="14" t="s">
        <v>13</v>
      </c>
    </row>
    <row r="6">
      <c r="A6" s="10">
        <v>2021.0</v>
      </c>
      <c r="B6" s="11" t="s">
        <v>13</v>
      </c>
      <c r="C6" s="12" t="s">
        <v>8</v>
      </c>
      <c r="D6" s="13" t="s">
        <v>11</v>
      </c>
      <c r="E6" s="11" t="s">
        <v>13</v>
      </c>
      <c r="F6" s="14" t="s">
        <v>15</v>
      </c>
    </row>
    <row r="7">
      <c r="A7" s="10">
        <v>2022.0</v>
      </c>
      <c r="B7" s="11" t="s">
        <v>8</v>
      </c>
      <c r="C7" s="12" t="s">
        <v>13</v>
      </c>
      <c r="D7" s="13" t="s">
        <v>10</v>
      </c>
      <c r="E7" s="11" t="s">
        <v>10</v>
      </c>
      <c r="F7" s="14" t="s">
        <v>11</v>
      </c>
    </row>
    <row r="8">
      <c r="A8" s="10">
        <v>2023.0</v>
      </c>
      <c r="B8" s="11" t="s">
        <v>11</v>
      </c>
      <c r="C8" s="12" t="s">
        <v>8</v>
      </c>
      <c r="D8" s="13" t="s">
        <v>12</v>
      </c>
      <c r="E8" s="11" t="s">
        <v>10</v>
      </c>
      <c r="F8" s="14" t="s">
        <v>11</v>
      </c>
    </row>
    <row r="9">
      <c r="A9" s="10">
        <v>2024.0</v>
      </c>
      <c r="B9" s="11" t="s">
        <v>11</v>
      </c>
      <c r="C9" s="12" t="s">
        <v>10</v>
      </c>
      <c r="D9" s="13" t="s">
        <v>12</v>
      </c>
      <c r="E9" s="11" t="s">
        <v>16</v>
      </c>
      <c r="F9" s="14" t="s">
        <v>17</v>
      </c>
    </row>
    <row r="10">
      <c r="A10" s="10">
        <v>2026.0</v>
      </c>
      <c r="B10" s="11" t="s">
        <v>17</v>
      </c>
      <c r="C10" s="12" t="s">
        <v>11</v>
      </c>
      <c r="D10" s="13" t="s">
        <v>18</v>
      </c>
      <c r="E10" s="11" t="s">
        <v>11</v>
      </c>
      <c r="F10" s="14" t="s">
        <v>10</v>
      </c>
    </row>
    <row r="11">
      <c r="A11" s="15">
        <v>2026.0</v>
      </c>
      <c r="B11" s="16"/>
      <c r="C11" s="17"/>
      <c r="D11" s="18"/>
      <c r="E11" s="16"/>
      <c r="F11" s="19"/>
    </row>
  </sheetData>
  <mergeCells count="2">
    <mergeCell ref="B1:D1"/>
    <mergeCell ref="E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57"/>
    <col customWidth="1" min="7" max="22" width="8.71"/>
    <col customWidth="1" min="23" max="26" width="16.43"/>
  </cols>
  <sheetData>
    <row r="1" ht="28.5" customHeight="1">
      <c r="H1" s="20" t="s">
        <v>19</v>
      </c>
      <c r="I1" s="21"/>
      <c r="J1" s="21"/>
      <c r="K1" s="21"/>
      <c r="L1" s="21"/>
      <c r="M1" s="21"/>
      <c r="N1" s="21"/>
      <c r="O1" s="21"/>
      <c r="P1" s="21"/>
      <c r="Q1" s="22"/>
    </row>
    <row r="2" ht="14.25" customHeight="1"/>
    <row r="3" ht="14.25" customHeight="1"/>
    <row r="4" ht="14.25" customHeight="1">
      <c r="C4" s="23" t="s">
        <v>11</v>
      </c>
      <c r="D4" s="21"/>
      <c r="E4" s="21"/>
      <c r="F4" s="22"/>
      <c r="G4" s="23" t="s">
        <v>15</v>
      </c>
      <c r="H4" s="21"/>
      <c r="I4" s="21"/>
      <c r="J4" s="22"/>
      <c r="K4" s="23" t="s">
        <v>14</v>
      </c>
      <c r="L4" s="21"/>
      <c r="M4" s="21"/>
      <c r="N4" s="22"/>
      <c r="O4" s="23" t="s">
        <v>13</v>
      </c>
      <c r="P4" s="21"/>
      <c r="Q4" s="21"/>
      <c r="R4" s="22"/>
      <c r="S4" s="24" t="s">
        <v>16</v>
      </c>
      <c r="T4" s="21"/>
      <c r="U4" s="21"/>
      <c r="V4" s="22"/>
    </row>
    <row r="5" ht="14.25" customHeight="1">
      <c r="C5" s="25" t="s">
        <v>20</v>
      </c>
      <c r="D5" s="26"/>
      <c r="E5" s="27" t="s">
        <v>21</v>
      </c>
      <c r="F5" s="28" t="s">
        <v>22</v>
      </c>
      <c r="G5" s="25" t="s">
        <v>20</v>
      </c>
      <c r="H5" s="26"/>
      <c r="I5" s="27" t="s">
        <v>21</v>
      </c>
      <c r="J5" s="28" t="s">
        <v>22</v>
      </c>
      <c r="K5" s="29" t="s">
        <v>20</v>
      </c>
      <c r="L5" s="30"/>
      <c r="M5" s="31" t="s">
        <v>21</v>
      </c>
      <c r="N5" s="28" t="s">
        <v>22</v>
      </c>
      <c r="O5" s="29" t="s">
        <v>20</v>
      </c>
      <c r="P5" s="30"/>
      <c r="Q5" s="31" t="s">
        <v>21</v>
      </c>
      <c r="R5" s="28" t="s">
        <v>22</v>
      </c>
      <c r="S5" s="29" t="s">
        <v>20</v>
      </c>
      <c r="T5" s="30"/>
      <c r="U5" s="31" t="s">
        <v>21</v>
      </c>
      <c r="V5" s="28" t="s">
        <v>22</v>
      </c>
    </row>
    <row r="6" ht="14.25" customHeight="1">
      <c r="B6" s="32"/>
      <c r="C6" s="33" t="s">
        <v>23</v>
      </c>
      <c r="D6" s="34"/>
      <c r="E6" s="35">
        <v>46.0</v>
      </c>
      <c r="F6" s="36"/>
      <c r="G6" s="33" t="s">
        <v>24</v>
      </c>
      <c r="H6" s="34"/>
      <c r="I6" s="35">
        <v>27.0</v>
      </c>
      <c r="J6" s="37"/>
      <c r="K6" s="33" t="s">
        <v>25</v>
      </c>
      <c r="L6" s="34"/>
      <c r="M6" s="35">
        <v>10.0</v>
      </c>
      <c r="N6" s="38"/>
      <c r="O6" s="33" t="s">
        <v>26</v>
      </c>
      <c r="P6" s="34"/>
      <c r="Q6" s="35">
        <v>31.0</v>
      </c>
      <c r="R6" s="38"/>
      <c r="S6" s="33" t="s">
        <v>27</v>
      </c>
      <c r="T6" s="34"/>
      <c r="U6" s="35">
        <v>11.0</v>
      </c>
      <c r="V6" s="38"/>
    </row>
    <row r="7" ht="14.25" customHeight="1">
      <c r="B7" s="39" t="s">
        <v>28</v>
      </c>
      <c r="C7" s="40" t="s">
        <v>29</v>
      </c>
      <c r="D7" s="3"/>
      <c r="E7" s="41">
        <v>1.0</v>
      </c>
      <c r="F7" s="36"/>
      <c r="G7" s="40" t="s">
        <v>30</v>
      </c>
      <c r="H7" s="3"/>
      <c r="I7" s="41">
        <v>17.0</v>
      </c>
      <c r="J7" s="37"/>
      <c r="K7" s="40" t="s">
        <v>31</v>
      </c>
      <c r="L7" s="3"/>
      <c r="M7" s="41">
        <v>18.0</v>
      </c>
      <c r="N7" s="38"/>
      <c r="O7" s="40" t="s">
        <v>32</v>
      </c>
      <c r="P7" s="3"/>
      <c r="Q7" s="41">
        <v>7.0</v>
      </c>
      <c r="R7" s="38"/>
      <c r="S7" s="40" t="s">
        <v>33</v>
      </c>
      <c r="T7" s="3"/>
      <c r="U7" s="41">
        <v>1.0</v>
      </c>
      <c r="V7" s="38"/>
    </row>
    <row r="8" ht="14.25" customHeight="1">
      <c r="B8" s="42"/>
      <c r="C8" s="43" t="s">
        <v>34</v>
      </c>
      <c r="D8" s="44"/>
      <c r="E8" s="45">
        <v>1.0</v>
      </c>
      <c r="F8" s="46">
        <f>SUM(E6:E8)</f>
        <v>48</v>
      </c>
      <c r="G8" s="43" t="s">
        <v>35</v>
      </c>
      <c r="H8" s="44"/>
      <c r="I8" s="45">
        <v>6.0</v>
      </c>
      <c r="J8" s="47">
        <f>SUM(I6:I8)</f>
        <v>50</v>
      </c>
      <c r="K8" s="43" t="s">
        <v>36</v>
      </c>
      <c r="L8" s="44"/>
      <c r="M8" s="45">
        <v>1.0</v>
      </c>
      <c r="N8" s="48">
        <f>SUM(M6:M8)</f>
        <v>29</v>
      </c>
      <c r="O8" s="43" t="s">
        <v>37</v>
      </c>
      <c r="P8" s="44"/>
      <c r="Q8" s="45">
        <v>7.0</v>
      </c>
      <c r="R8" s="48">
        <f>SUM(Q6:Q8)</f>
        <v>45</v>
      </c>
      <c r="S8" s="43" t="s">
        <v>38</v>
      </c>
      <c r="T8" s="44"/>
      <c r="U8" s="45">
        <v>1.0</v>
      </c>
      <c r="V8" s="48">
        <f>SUM(U6:U8)</f>
        <v>13</v>
      </c>
    </row>
    <row r="9" ht="14.25" customHeight="1">
      <c r="B9" s="49"/>
      <c r="C9" s="50" t="s">
        <v>39</v>
      </c>
      <c r="D9" s="34"/>
      <c r="E9" s="51">
        <v>9.0</v>
      </c>
      <c r="F9" s="52"/>
      <c r="G9" s="50" t="s">
        <v>40</v>
      </c>
      <c r="H9" s="34"/>
      <c r="I9" s="51">
        <v>21.0</v>
      </c>
      <c r="J9" s="53"/>
      <c r="K9" s="50" t="s">
        <v>41</v>
      </c>
      <c r="L9" s="34"/>
      <c r="M9" s="51">
        <v>21.0</v>
      </c>
      <c r="N9" s="54"/>
      <c r="O9" s="50" t="s">
        <v>42</v>
      </c>
      <c r="P9" s="34"/>
      <c r="Q9" s="51">
        <v>28.0</v>
      </c>
      <c r="R9" s="54"/>
      <c r="S9" s="50" t="s">
        <v>43</v>
      </c>
      <c r="T9" s="34"/>
      <c r="U9" s="51">
        <v>30.0</v>
      </c>
      <c r="V9" s="54"/>
    </row>
    <row r="10" ht="14.25" customHeight="1">
      <c r="B10" s="55"/>
      <c r="C10" s="56" t="s">
        <v>44</v>
      </c>
      <c r="D10" s="3"/>
      <c r="E10" s="57">
        <v>15.0</v>
      </c>
      <c r="F10" s="52"/>
      <c r="G10" s="56" t="s">
        <v>45</v>
      </c>
      <c r="H10" s="3"/>
      <c r="I10" s="57">
        <v>44.0</v>
      </c>
      <c r="J10" s="53"/>
      <c r="K10" s="56" t="s">
        <v>46</v>
      </c>
      <c r="L10" s="3"/>
      <c r="M10" s="57">
        <v>10.0</v>
      </c>
      <c r="N10" s="54"/>
      <c r="O10" s="56" t="s">
        <v>47</v>
      </c>
      <c r="P10" s="3"/>
      <c r="Q10" s="57">
        <v>18.0</v>
      </c>
      <c r="R10" s="54"/>
      <c r="S10" s="56" t="s">
        <v>48</v>
      </c>
      <c r="T10" s="3"/>
      <c r="U10" s="57">
        <v>17.0</v>
      </c>
      <c r="V10" s="54"/>
    </row>
    <row r="11" ht="14.25" customHeight="1">
      <c r="B11" s="55"/>
      <c r="C11" s="56" t="s">
        <v>49</v>
      </c>
      <c r="D11" s="3"/>
      <c r="E11" s="57">
        <v>16.0</v>
      </c>
      <c r="F11" s="52"/>
      <c r="G11" s="56" t="s">
        <v>50</v>
      </c>
      <c r="H11" s="3"/>
      <c r="I11" s="57">
        <v>15.0</v>
      </c>
      <c r="J11" s="53"/>
      <c r="K11" s="56" t="s">
        <v>51</v>
      </c>
      <c r="L11" s="3"/>
      <c r="M11" s="57">
        <v>13.0</v>
      </c>
      <c r="N11" s="54"/>
      <c r="O11" s="56" t="s">
        <v>52</v>
      </c>
      <c r="P11" s="3"/>
      <c r="Q11" s="57">
        <v>18.0</v>
      </c>
      <c r="R11" s="54"/>
      <c r="S11" s="56" t="s">
        <v>53</v>
      </c>
      <c r="T11" s="3"/>
      <c r="U11" s="57">
        <v>9.0</v>
      </c>
      <c r="V11" s="54"/>
    </row>
    <row r="12" ht="14.25" customHeight="1">
      <c r="B12" s="58" t="s">
        <v>54</v>
      </c>
      <c r="C12" s="56" t="s">
        <v>55</v>
      </c>
      <c r="D12" s="3"/>
      <c r="E12" s="57">
        <v>19.0</v>
      </c>
      <c r="F12" s="52"/>
      <c r="G12" s="56" t="s">
        <v>56</v>
      </c>
      <c r="H12" s="3"/>
      <c r="I12" s="57">
        <v>2.0</v>
      </c>
      <c r="J12" s="53"/>
      <c r="K12" s="56" t="s">
        <v>57</v>
      </c>
      <c r="L12" s="3"/>
      <c r="M12" s="57">
        <v>6.0</v>
      </c>
      <c r="N12" s="54"/>
      <c r="O12" s="56" t="s">
        <v>58</v>
      </c>
      <c r="P12" s="3"/>
      <c r="Q12" s="57">
        <v>6.0</v>
      </c>
      <c r="R12" s="54"/>
      <c r="S12" s="56" t="s">
        <v>59</v>
      </c>
      <c r="T12" s="3"/>
      <c r="U12" s="57">
        <v>3.0</v>
      </c>
      <c r="V12" s="54"/>
    </row>
    <row r="13" ht="14.25" customHeight="1">
      <c r="B13" s="55"/>
      <c r="C13" s="56" t="s">
        <v>60</v>
      </c>
      <c r="D13" s="3"/>
      <c r="E13" s="57">
        <v>1.0</v>
      </c>
      <c r="F13" s="52"/>
      <c r="G13" s="56" t="s">
        <v>61</v>
      </c>
      <c r="H13" s="3"/>
      <c r="I13" s="57">
        <v>1.0</v>
      </c>
      <c r="J13" s="53"/>
      <c r="K13" s="56" t="s">
        <v>62</v>
      </c>
      <c r="L13" s="3"/>
      <c r="M13" s="57">
        <v>2.0</v>
      </c>
      <c r="N13" s="54"/>
      <c r="O13" s="56" t="s">
        <v>63</v>
      </c>
      <c r="P13" s="3"/>
      <c r="Q13" s="57">
        <v>3.0</v>
      </c>
      <c r="R13" s="54"/>
      <c r="S13" s="56" t="s">
        <v>64</v>
      </c>
      <c r="T13" s="3"/>
      <c r="U13" s="57">
        <v>4.0</v>
      </c>
      <c r="V13" s="54"/>
    </row>
    <row r="14" ht="14.25" customHeight="1">
      <c r="B14" s="55"/>
      <c r="C14" s="56" t="s">
        <v>65</v>
      </c>
      <c r="D14" s="3"/>
      <c r="E14" s="57">
        <v>4.0</v>
      </c>
      <c r="F14" s="52"/>
      <c r="G14" s="56" t="s">
        <v>66</v>
      </c>
      <c r="H14" s="3"/>
      <c r="I14" s="57">
        <v>3.0</v>
      </c>
      <c r="J14" s="53"/>
      <c r="K14" s="56" t="s">
        <v>67</v>
      </c>
      <c r="L14" s="3"/>
      <c r="M14" s="57">
        <v>2.0</v>
      </c>
      <c r="N14" s="54"/>
      <c r="O14" s="56" t="s">
        <v>68</v>
      </c>
      <c r="P14" s="3"/>
      <c r="Q14" s="57">
        <v>4.0</v>
      </c>
      <c r="R14" s="54"/>
      <c r="S14" s="56" t="s">
        <v>69</v>
      </c>
      <c r="T14" s="3"/>
      <c r="U14" s="57">
        <v>3.0</v>
      </c>
      <c r="V14" s="54"/>
    </row>
    <row r="15" ht="14.25" customHeight="1">
      <c r="B15" s="55"/>
      <c r="C15" s="56" t="s">
        <v>70</v>
      </c>
      <c r="D15" s="3"/>
      <c r="E15" s="57">
        <v>3.0</v>
      </c>
      <c r="F15" s="52"/>
      <c r="G15" s="56" t="s">
        <v>71</v>
      </c>
      <c r="H15" s="3"/>
      <c r="I15" s="57">
        <v>1.0</v>
      </c>
      <c r="J15" s="53"/>
      <c r="K15" s="56" t="s">
        <v>72</v>
      </c>
      <c r="L15" s="3"/>
      <c r="M15" s="57">
        <v>3.0</v>
      </c>
      <c r="N15" s="54"/>
      <c r="O15" s="56" t="s">
        <v>73</v>
      </c>
      <c r="P15" s="3"/>
      <c r="Q15" s="57">
        <v>1.0</v>
      </c>
      <c r="R15" s="54"/>
      <c r="S15" s="56" t="s">
        <v>74</v>
      </c>
      <c r="T15" s="3"/>
      <c r="U15" s="57">
        <v>1.0</v>
      </c>
      <c r="V15" s="54"/>
    </row>
    <row r="16" ht="14.25" customHeight="1">
      <c r="B16" s="59"/>
      <c r="C16" s="60" t="s">
        <v>75</v>
      </c>
      <c r="D16" s="61"/>
      <c r="E16" s="62">
        <v>1.0</v>
      </c>
      <c r="F16" s="63">
        <f>SUM(E9:E16)</f>
        <v>68</v>
      </c>
      <c r="G16" s="60" t="s">
        <v>76</v>
      </c>
      <c r="H16" s="61"/>
      <c r="I16" s="62">
        <v>1.0</v>
      </c>
      <c r="J16" s="64">
        <f>SUM(I9:I16)</f>
        <v>88</v>
      </c>
      <c r="K16" s="60" t="s">
        <v>77</v>
      </c>
      <c r="L16" s="61"/>
      <c r="M16" s="62">
        <v>1.0</v>
      </c>
      <c r="N16" s="65">
        <f>SUM(M9:M16)</f>
        <v>58</v>
      </c>
      <c r="O16" s="60" t="s">
        <v>78</v>
      </c>
      <c r="P16" s="61"/>
      <c r="Q16" s="62">
        <v>1.0</v>
      </c>
      <c r="R16" s="65">
        <f>SUM(Q9:Q16)</f>
        <v>79</v>
      </c>
      <c r="S16" s="60" t="s">
        <v>79</v>
      </c>
      <c r="T16" s="61"/>
      <c r="U16" s="62">
        <v>1.0</v>
      </c>
      <c r="V16" s="65">
        <f>SUM(U9:U16)</f>
        <v>68</v>
      </c>
    </row>
    <row r="17" ht="14.25" customHeight="1">
      <c r="B17" s="66"/>
      <c r="C17" s="67" t="s">
        <v>80</v>
      </c>
      <c r="D17" s="68"/>
      <c r="E17" s="69">
        <v>52.0</v>
      </c>
      <c r="F17" s="70"/>
      <c r="G17" s="67" t="s">
        <v>81</v>
      </c>
      <c r="H17" s="68"/>
      <c r="I17" s="69">
        <v>56.0</v>
      </c>
      <c r="J17" s="71"/>
      <c r="K17" s="67" t="s">
        <v>82</v>
      </c>
      <c r="L17" s="68"/>
      <c r="M17" s="69">
        <v>41.0</v>
      </c>
      <c r="N17" s="72"/>
      <c r="O17" s="67" t="s">
        <v>83</v>
      </c>
      <c r="P17" s="68"/>
      <c r="Q17" s="69">
        <v>60.0</v>
      </c>
      <c r="R17" s="72"/>
      <c r="S17" s="67" t="s">
        <v>84</v>
      </c>
      <c r="T17" s="68"/>
      <c r="U17" s="69">
        <v>37.0</v>
      </c>
      <c r="V17" s="72"/>
    </row>
    <row r="18" ht="14.25" customHeight="1">
      <c r="B18" s="73"/>
      <c r="C18" s="74" t="s">
        <v>85</v>
      </c>
      <c r="D18" s="3"/>
      <c r="E18" s="75">
        <v>30.0</v>
      </c>
      <c r="F18" s="70"/>
      <c r="G18" s="74" t="s">
        <v>86</v>
      </c>
      <c r="H18" s="3"/>
      <c r="I18" s="75">
        <v>15.0</v>
      </c>
      <c r="J18" s="71"/>
      <c r="K18" s="74" t="s">
        <v>87</v>
      </c>
      <c r="L18" s="3"/>
      <c r="M18" s="75">
        <v>60.0</v>
      </c>
      <c r="N18" s="72"/>
      <c r="O18" s="74" t="s">
        <v>88</v>
      </c>
      <c r="P18" s="3"/>
      <c r="Q18" s="75">
        <v>40.0</v>
      </c>
      <c r="R18" s="72"/>
      <c r="S18" s="74" t="s">
        <v>89</v>
      </c>
      <c r="T18" s="3"/>
      <c r="U18" s="75">
        <v>27.0</v>
      </c>
      <c r="V18" s="72"/>
    </row>
    <row r="19" ht="14.25" customHeight="1">
      <c r="B19" s="73"/>
      <c r="C19" s="74" t="s">
        <v>90</v>
      </c>
      <c r="D19" s="3"/>
      <c r="E19" s="75">
        <v>18.0</v>
      </c>
      <c r="F19" s="70"/>
      <c r="G19" s="74" t="s">
        <v>91</v>
      </c>
      <c r="H19" s="3"/>
      <c r="I19" s="75">
        <v>20.0</v>
      </c>
      <c r="J19" s="71"/>
      <c r="K19" s="74" t="s">
        <v>92</v>
      </c>
      <c r="L19" s="3"/>
      <c r="M19" s="75">
        <v>18.0</v>
      </c>
      <c r="N19" s="72"/>
      <c r="O19" s="74" t="s">
        <v>93</v>
      </c>
      <c r="P19" s="3"/>
      <c r="Q19" s="75">
        <v>5.0</v>
      </c>
      <c r="R19" s="72"/>
      <c r="S19" s="74" t="s">
        <v>94</v>
      </c>
      <c r="T19" s="3"/>
      <c r="U19" s="75">
        <v>27.0</v>
      </c>
      <c r="V19" s="72"/>
    </row>
    <row r="20" ht="14.25" customHeight="1">
      <c r="B20" s="76" t="s">
        <v>95</v>
      </c>
      <c r="C20" s="74" t="s">
        <v>96</v>
      </c>
      <c r="D20" s="3"/>
      <c r="E20" s="75">
        <v>18.0</v>
      </c>
      <c r="F20" s="70"/>
      <c r="G20" s="74" t="s">
        <v>97</v>
      </c>
      <c r="H20" s="3"/>
      <c r="I20" s="75">
        <v>8.0</v>
      </c>
      <c r="J20" s="71"/>
      <c r="K20" s="74" t="s">
        <v>98</v>
      </c>
      <c r="L20" s="3"/>
      <c r="M20" s="75">
        <v>12.0</v>
      </c>
      <c r="N20" s="72"/>
      <c r="O20" s="74" t="s">
        <v>99</v>
      </c>
      <c r="P20" s="3"/>
      <c r="Q20" s="75">
        <v>7.0</v>
      </c>
      <c r="R20" s="72"/>
      <c r="S20" s="74" t="s">
        <v>100</v>
      </c>
      <c r="T20" s="3"/>
      <c r="U20" s="75">
        <v>30.0</v>
      </c>
      <c r="V20" s="72"/>
    </row>
    <row r="21" ht="14.25" customHeight="1">
      <c r="B21" s="73"/>
      <c r="C21" s="74" t="s">
        <v>101</v>
      </c>
      <c r="D21" s="3"/>
      <c r="E21" s="75">
        <v>16.0</v>
      </c>
      <c r="F21" s="70"/>
      <c r="G21" s="74" t="s">
        <v>102</v>
      </c>
      <c r="H21" s="3"/>
      <c r="I21" s="75">
        <v>1.0</v>
      </c>
      <c r="J21" s="71"/>
      <c r="K21" s="74" t="s">
        <v>103</v>
      </c>
      <c r="L21" s="3"/>
      <c r="M21" s="75">
        <v>17.0</v>
      </c>
      <c r="N21" s="72"/>
      <c r="O21" s="74" t="s">
        <v>104</v>
      </c>
      <c r="P21" s="3"/>
      <c r="Q21" s="75">
        <v>9.0</v>
      </c>
      <c r="R21" s="72"/>
      <c r="S21" s="74" t="s">
        <v>105</v>
      </c>
      <c r="T21" s="3"/>
      <c r="U21" s="75">
        <v>5.0</v>
      </c>
      <c r="V21" s="72"/>
    </row>
    <row r="22" ht="14.25" customHeight="1">
      <c r="B22" s="73"/>
      <c r="C22" s="74" t="s">
        <v>106</v>
      </c>
      <c r="D22" s="3"/>
      <c r="E22" s="75">
        <v>5.0</v>
      </c>
      <c r="F22" s="70"/>
      <c r="G22" s="74" t="s">
        <v>107</v>
      </c>
      <c r="H22" s="3"/>
      <c r="I22" s="75">
        <v>3.0</v>
      </c>
      <c r="J22" s="71"/>
      <c r="K22" s="74" t="s">
        <v>108</v>
      </c>
      <c r="L22" s="3"/>
      <c r="M22" s="75">
        <v>11.0</v>
      </c>
      <c r="N22" s="72"/>
      <c r="O22" s="74" t="s">
        <v>109</v>
      </c>
      <c r="P22" s="3"/>
      <c r="Q22" s="75">
        <v>3.0</v>
      </c>
      <c r="R22" s="72"/>
      <c r="S22" s="74" t="s">
        <v>110</v>
      </c>
      <c r="T22" s="3"/>
      <c r="U22" s="75">
        <v>9.0</v>
      </c>
      <c r="V22" s="72"/>
    </row>
    <row r="23" ht="14.25" customHeight="1">
      <c r="B23" s="73"/>
      <c r="C23" s="74" t="s">
        <v>111</v>
      </c>
      <c r="D23" s="3"/>
      <c r="E23" s="75">
        <v>5.0</v>
      </c>
      <c r="F23" s="70"/>
      <c r="G23" s="74" t="s">
        <v>112</v>
      </c>
      <c r="H23" s="3"/>
      <c r="I23" s="75">
        <v>1.0</v>
      </c>
      <c r="J23" s="71"/>
      <c r="K23" s="74" t="s">
        <v>113</v>
      </c>
      <c r="L23" s="3"/>
      <c r="M23" s="75">
        <v>1.0</v>
      </c>
      <c r="N23" s="72"/>
      <c r="O23" s="74" t="s">
        <v>114</v>
      </c>
      <c r="P23" s="3"/>
      <c r="Q23" s="75">
        <v>3.0</v>
      </c>
      <c r="R23" s="72"/>
      <c r="S23" s="74" t="s">
        <v>115</v>
      </c>
      <c r="T23" s="3"/>
      <c r="U23" s="75">
        <v>3.0</v>
      </c>
      <c r="V23" s="72"/>
    </row>
    <row r="24" ht="14.25" customHeight="1">
      <c r="B24" s="77"/>
      <c r="C24" s="78" t="s">
        <v>116</v>
      </c>
      <c r="D24" s="61"/>
      <c r="E24" s="79">
        <v>1.0</v>
      </c>
      <c r="F24" s="80">
        <f>SUM(E17:E24)</f>
        <v>145</v>
      </c>
      <c r="G24" s="78" t="s">
        <v>117</v>
      </c>
      <c r="H24" s="61"/>
      <c r="I24" s="79">
        <v>1.0</v>
      </c>
      <c r="J24" s="81">
        <f>SUM(I17:I24)</f>
        <v>105</v>
      </c>
      <c r="K24" s="78" t="s">
        <v>118</v>
      </c>
      <c r="L24" s="61"/>
      <c r="M24" s="79">
        <v>1.0</v>
      </c>
      <c r="N24" s="82">
        <f>SUM(M17:M24)</f>
        <v>161</v>
      </c>
      <c r="O24" s="78" t="s">
        <v>119</v>
      </c>
      <c r="P24" s="61"/>
      <c r="Q24" s="79">
        <v>1.0</v>
      </c>
      <c r="R24" s="82">
        <f>SUM(Q17:Q24)</f>
        <v>128</v>
      </c>
      <c r="S24" s="78" t="s">
        <v>120</v>
      </c>
      <c r="T24" s="61"/>
      <c r="U24" s="79">
        <v>1.0</v>
      </c>
      <c r="V24" s="82">
        <f>SUM(U17:U24)</f>
        <v>139</v>
      </c>
    </row>
    <row r="25" ht="14.25" customHeight="1">
      <c r="B25" s="83"/>
      <c r="C25" s="84" t="s">
        <v>121</v>
      </c>
      <c r="D25" s="68"/>
      <c r="E25" s="85">
        <v>171.0</v>
      </c>
      <c r="F25" s="86"/>
      <c r="G25" s="84" t="s">
        <v>122</v>
      </c>
      <c r="H25" s="68"/>
      <c r="I25" s="85">
        <v>150.0</v>
      </c>
      <c r="J25" s="87"/>
      <c r="K25" s="84" t="s">
        <v>123</v>
      </c>
      <c r="L25" s="68"/>
      <c r="M25" s="85">
        <v>128.0</v>
      </c>
      <c r="N25" s="88"/>
      <c r="O25" s="84" t="s">
        <v>124</v>
      </c>
      <c r="P25" s="68"/>
      <c r="Q25" s="85">
        <v>62.0</v>
      </c>
      <c r="R25" s="88"/>
      <c r="S25" s="84" t="s">
        <v>125</v>
      </c>
      <c r="T25" s="68"/>
      <c r="U25" s="85">
        <v>110.0</v>
      </c>
      <c r="V25" s="88"/>
    </row>
    <row r="26" ht="14.25" customHeight="1">
      <c r="B26" s="89"/>
      <c r="C26" s="90" t="s">
        <v>126</v>
      </c>
      <c r="D26" s="3"/>
      <c r="E26" s="91">
        <v>16.0</v>
      </c>
      <c r="F26" s="86"/>
      <c r="G26" s="90" t="s">
        <v>127</v>
      </c>
      <c r="H26" s="3"/>
      <c r="I26" s="91">
        <v>82.0</v>
      </c>
      <c r="J26" s="87"/>
      <c r="K26" s="90" t="s">
        <v>128</v>
      </c>
      <c r="L26" s="3"/>
      <c r="M26" s="91">
        <v>87.0</v>
      </c>
      <c r="N26" s="88"/>
      <c r="O26" s="90" t="s">
        <v>129</v>
      </c>
      <c r="P26" s="3"/>
      <c r="Q26" s="91">
        <v>46.0</v>
      </c>
      <c r="R26" s="88"/>
      <c r="S26" s="90" t="s">
        <v>130</v>
      </c>
      <c r="T26" s="3"/>
      <c r="U26" s="91">
        <v>83.0</v>
      </c>
      <c r="V26" s="88"/>
    </row>
    <row r="27" ht="14.25" customHeight="1">
      <c r="B27" s="92" t="s">
        <v>131</v>
      </c>
      <c r="C27" s="90" t="s">
        <v>132</v>
      </c>
      <c r="D27" s="3"/>
      <c r="E27" s="91">
        <v>10.0</v>
      </c>
      <c r="F27" s="86"/>
      <c r="G27" s="90" t="s">
        <v>133</v>
      </c>
      <c r="H27" s="3"/>
      <c r="I27" s="91">
        <v>16.0</v>
      </c>
      <c r="J27" s="87"/>
      <c r="K27" s="90" t="s">
        <v>134</v>
      </c>
      <c r="L27" s="3"/>
      <c r="M27" s="91">
        <v>21.0</v>
      </c>
      <c r="N27" s="88"/>
      <c r="O27" s="90" t="s">
        <v>135</v>
      </c>
      <c r="P27" s="3"/>
      <c r="Q27" s="91">
        <v>56.0</v>
      </c>
      <c r="R27" s="88"/>
      <c r="S27" s="90" t="s">
        <v>136</v>
      </c>
      <c r="T27" s="3"/>
      <c r="U27" s="91">
        <v>24.0</v>
      </c>
      <c r="V27" s="88"/>
    </row>
    <row r="28" ht="14.25" customHeight="1">
      <c r="B28" s="89"/>
      <c r="C28" s="90" t="s">
        <v>137</v>
      </c>
      <c r="D28" s="3"/>
      <c r="E28" s="91">
        <v>7.0</v>
      </c>
      <c r="F28" s="86"/>
      <c r="G28" s="90" t="s">
        <v>138</v>
      </c>
      <c r="H28" s="3"/>
      <c r="I28" s="91">
        <v>5.0</v>
      </c>
      <c r="J28" s="87"/>
      <c r="K28" s="90" t="s">
        <v>139</v>
      </c>
      <c r="L28" s="3"/>
      <c r="M28" s="91">
        <v>5.0</v>
      </c>
      <c r="N28" s="88"/>
      <c r="O28" s="90" t="s">
        <v>140</v>
      </c>
      <c r="P28" s="3"/>
      <c r="Q28" s="91">
        <v>25.0</v>
      </c>
      <c r="R28" s="88"/>
      <c r="S28" s="90" t="s">
        <v>141</v>
      </c>
      <c r="T28" s="3"/>
      <c r="U28" s="91">
        <v>5.0</v>
      </c>
      <c r="V28" s="88"/>
    </row>
    <row r="29" ht="14.25" customHeight="1">
      <c r="B29" s="89"/>
      <c r="C29" s="90" t="s">
        <v>142</v>
      </c>
      <c r="D29" s="3"/>
      <c r="E29" s="91">
        <v>22.0</v>
      </c>
      <c r="F29" s="86"/>
      <c r="G29" s="90" t="s">
        <v>143</v>
      </c>
      <c r="H29" s="3"/>
      <c r="I29" s="91">
        <v>1.0</v>
      </c>
      <c r="J29" s="87"/>
      <c r="K29" s="90" t="s">
        <v>144</v>
      </c>
      <c r="L29" s="3"/>
      <c r="M29" s="91">
        <v>6.0</v>
      </c>
      <c r="N29" s="88"/>
      <c r="O29" s="90" t="s">
        <v>145</v>
      </c>
      <c r="P29" s="3"/>
      <c r="Q29" s="91">
        <v>30.0</v>
      </c>
      <c r="R29" s="88"/>
      <c r="S29" s="90" t="s">
        <v>146</v>
      </c>
      <c r="T29" s="3"/>
      <c r="U29" s="91">
        <v>1.0</v>
      </c>
      <c r="V29" s="88"/>
    </row>
    <row r="30" ht="14.25" customHeight="1">
      <c r="B30" s="93"/>
      <c r="C30" s="94" t="s">
        <v>147</v>
      </c>
      <c r="D30" s="61"/>
      <c r="E30" s="95">
        <v>13.0</v>
      </c>
      <c r="F30" s="96">
        <f>SUM(E25:E30)</f>
        <v>239</v>
      </c>
      <c r="G30" s="94" t="s">
        <v>148</v>
      </c>
      <c r="H30" s="61"/>
      <c r="I30" s="95">
        <v>1.0</v>
      </c>
      <c r="J30" s="97">
        <f>SUM(I25:I30)</f>
        <v>255</v>
      </c>
      <c r="K30" s="94" t="s">
        <v>149</v>
      </c>
      <c r="L30" s="61"/>
      <c r="M30" s="95">
        <v>1.0</v>
      </c>
      <c r="N30" s="98">
        <f>SUM(M25:M30)</f>
        <v>248</v>
      </c>
      <c r="O30" s="94" t="s">
        <v>150</v>
      </c>
      <c r="P30" s="61"/>
      <c r="Q30" s="95">
        <v>29.0</v>
      </c>
      <c r="R30" s="98">
        <f>SUM(Q25:Q30)</f>
        <v>248</v>
      </c>
      <c r="S30" s="94" t="s">
        <v>151</v>
      </c>
      <c r="T30" s="61"/>
      <c r="U30" s="95">
        <v>10.0</v>
      </c>
      <c r="V30" s="98">
        <f>SUM(U25:U30)</f>
        <v>233</v>
      </c>
    </row>
    <row r="31" ht="14.25" customHeight="1">
      <c r="C31" s="99" t="s">
        <v>152</v>
      </c>
      <c r="D31" s="100"/>
      <c r="E31" s="28">
        <f>SUM(E6:E30)</f>
        <v>500</v>
      </c>
      <c r="F31" s="101"/>
      <c r="G31" s="99" t="s">
        <v>152</v>
      </c>
      <c r="H31" s="100"/>
      <c r="I31" s="28">
        <f>SUM(I6:I30)</f>
        <v>498</v>
      </c>
      <c r="J31" s="101"/>
      <c r="K31" s="23" t="s">
        <v>152</v>
      </c>
      <c r="L31" s="22"/>
      <c r="M31" s="102">
        <f>SUM(M6:M30)</f>
        <v>496</v>
      </c>
      <c r="N31" s="101"/>
      <c r="O31" s="23" t="s">
        <v>152</v>
      </c>
      <c r="P31" s="22"/>
      <c r="Q31" s="102">
        <f>SUM(Q6:Q30)</f>
        <v>500</v>
      </c>
      <c r="R31" s="101"/>
      <c r="S31" s="23" t="s">
        <v>152</v>
      </c>
      <c r="T31" s="22"/>
      <c r="U31" s="102">
        <f>SUM(U6:U30)</f>
        <v>453</v>
      </c>
      <c r="V31" s="101"/>
    </row>
    <row r="32" ht="14.25" customHeight="1">
      <c r="C32" s="23" t="s">
        <v>153</v>
      </c>
      <c r="D32" s="22"/>
      <c r="E32" s="102">
        <f>500-E31</f>
        <v>0</v>
      </c>
      <c r="F32" s="103"/>
      <c r="G32" s="23" t="s">
        <v>153</v>
      </c>
      <c r="H32" s="22"/>
      <c r="I32" s="102">
        <f>500-I31</f>
        <v>2</v>
      </c>
      <c r="J32" s="103"/>
      <c r="K32" s="23" t="s">
        <v>153</v>
      </c>
      <c r="L32" s="22"/>
      <c r="M32" s="102">
        <f>500-M31</f>
        <v>4</v>
      </c>
      <c r="N32" s="103"/>
      <c r="O32" s="23" t="s">
        <v>153</v>
      </c>
      <c r="P32" s="22"/>
      <c r="Q32" s="102">
        <f>500-Q31</f>
        <v>0</v>
      </c>
      <c r="R32" s="103"/>
      <c r="S32" s="23" t="s">
        <v>153</v>
      </c>
      <c r="T32" s="22"/>
      <c r="U32" s="102">
        <f>500-U31</f>
        <v>47</v>
      </c>
      <c r="V32" s="103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C39" s="23" t="s">
        <v>154</v>
      </c>
      <c r="D39" s="21"/>
      <c r="E39" s="21"/>
      <c r="F39" s="22"/>
      <c r="G39" s="23" t="s">
        <v>155</v>
      </c>
      <c r="H39" s="21"/>
      <c r="I39" s="21"/>
      <c r="J39" s="22"/>
      <c r="K39" s="23" t="s">
        <v>10</v>
      </c>
      <c r="L39" s="21"/>
      <c r="M39" s="21"/>
      <c r="N39" s="22"/>
      <c r="O39" s="23" t="s">
        <v>156</v>
      </c>
      <c r="P39" s="21"/>
      <c r="Q39" s="21"/>
      <c r="R39" s="22"/>
      <c r="S39" s="23" t="s">
        <v>157</v>
      </c>
      <c r="T39" s="21"/>
      <c r="U39" s="21"/>
      <c r="V39" s="22"/>
    </row>
    <row r="40" ht="14.25" customHeight="1">
      <c r="C40" s="29" t="s">
        <v>20</v>
      </c>
      <c r="D40" s="30"/>
      <c r="E40" s="31" t="s">
        <v>21</v>
      </c>
      <c r="F40" s="28" t="s">
        <v>22</v>
      </c>
      <c r="G40" s="29" t="s">
        <v>20</v>
      </c>
      <c r="H40" s="30"/>
      <c r="I40" s="31" t="s">
        <v>21</v>
      </c>
      <c r="J40" s="28" t="s">
        <v>22</v>
      </c>
      <c r="K40" s="29" t="s">
        <v>20</v>
      </c>
      <c r="L40" s="30"/>
      <c r="M40" s="31" t="s">
        <v>21</v>
      </c>
      <c r="N40" s="28" t="s">
        <v>22</v>
      </c>
      <c r="O40" s="29" t="s">
        <v>20</v>
      </c>
      <c r="P40" s="30"/>
      <c r="Q40" s="31" t="s">
        <v>21</v>
      </c>
      <c r="R40" s="28" t="s">
        <v>22</v>
      </c>
      <c r="S40" s="29" t="s">
        <v>20</v>
      </c>
      <c r="T40" s="30"/>
      <c r="U40" s="31" t="s">
        <v>21</v>
      </c>
      <c r="V40" s="28" t="s">
        <v>22</v>
      </c>
    </row>
    <row r="41" ht="14.25" customHeight="1">
      <c r="B41" s="104"/>
      <c r="C41" s="33" t="s">
        <v>158</v>
      </c>
      <c r="D41" s="34"/>
      <c r="E41" s="35">
        <v>50.0</v>
      </c>
      <c r="F41" s="38"/>
      <c r="G41" s="33" t="s">
        <v>159</v>
      </c>
      <c r="H41" s="34"/>
      <c r="I41" s="35">
        <v>45.0</v>
      </c>
      <c r="J41" s="38"/>
      <c r="K41" s="33" t="s">
        <v>160</v>
      </c>
      <c r="L41" s="34"/>
      <c r="M41" s="35">
        <v>5.0</v>
      </c>
      <c r="N41" s="38"/>
      <c r="O41" s="33" t="s">
        <v>161</v>
      </c>
      <c r="P41" s="34"/>
      <c r="Q41" s="35">
        <v>29.0</v>
      </c>
      <c r="R41" s="38"/>
      <c r="S41" s="33" t="s">
        <v>162</v>
      </c>
      <c r="T41" s="34"/>
      <c r="U41" s="35">
        <v>17.0</v>
      </c>
      <c r="V41" s="38"/>
    </row>
    <row r="42" ht="14.25" customHeight="1">
      <c r="B42" s="105" t="s">
        <v>28</v>
      </c>
      <c r="C42" s="40" t="s">
        <v>163</v>
      </c>
      <c r="D42" s="3"/>
      <c r="E42" s="41">
        <v>1.0</v>
      </c>
      <c r="F42" s="38"/>
      <c r="G42" s="40" t="s">
        <v>164</v>
      </c>
      <c r="H42" s="3"/>
      <c r="I42" s="41">
        <v>6.0</v>
      </c>
      <c r="J42" s="38"/>
      <c r="K42" s="40" t="s">
        <v>165</v>
      </c>
      <c r="L42" s="3"/>
      <c r="M42" s="41">
        <v>13.0</v>
      </c>
      <c r="N42" s="38"/>
      <c r="O42" s="40" t="s">
        <v>166</v>
      </c>
      <c r="P42" s="3"/>
      <c r="Q42" s="41">
        <v>14.0</v>
      </c>
      <c r="R42" s="38"/>
      <c r="S42" s="40" t="s">
        <v>167</v>
      </c>
      <c r="T42" s="3"/>
      <c r="U42" s="41">
        <v>1.0</v>
      </c>
      <c r="V42" s="38"/>
    </row>
    <row r="43" ht="14.25" customHeight="1">
      <c r="B43" s="106"/>
      <c r="C43" s="43" t="s">
        <v>168</v>
      </c>
      <c r="D43" s="44"/>
      <c r="E43" s="45">
        <v>7.0</v>
      </c>
      <c r="F43" s="48">
        <f>SUM(E41:E43)</f>
        <v>58</v>
      </c>
      <c r="G43" s="43" t="s">
        <v>169</v>
      </c>
      <c r="H43" s="44"/>
      <c r="I43" s="45">
        <v>2.0</v>
      </c>
      <c r="J43" s="48">
        <f>SUM(I41:I43)</f>
        <v>53</v>
      </c>
      <c r="K43" s="43" t="s">
        <v>170</v>
      </c>
      <c r="L43" s="44"/>
      <c r="M43" s="45">
        <v>8.0</v>
      </c>
      <c r="N43" s="48">
        <f>SUM(M41:M43)</f>
        <v>26</v>
      </c>
      <c r="O43" s="43" t="s">
        <v>171</v>
      </c>
      <c r="P43" s="44"/>
      <c r="Q43" s="45">
        <v>1.0</v>
      </c>
      <c r="R43" s="48">
        <f>SUM(Q41:Q43)</f>
        <v>44</v>
      </c>
      <c r="S43" s="43" t="s">
        <v>172</v>
      </c>
      <c r="T43" s="44"/>
      <c r="U43" s="45">
        <v>1.0</v>
      </c>
      <c r="V43" s="48">
        <f>SUM(U41:U43)</f>
        <v>19</v>
      </c>
    </row>
    <row r="44" ht="14.25" customHeight="1">
      <c r="B44" s="107"/>
      <c r="C44" s="50" t="s">
        <v>173</v>
      </c>
      <c r="D44" s="34"/>
      <c r="E44" s="51">
        <v>18.0</v>
      </c>
      <c r="F44" s="54"/>
      <c r="G44" s="50" t="s">
        <v>174</v>
      </c>
      <c r="H44" s="34"/>
      <c r="I44" s="51">
        <v>15.0</v>
      </c>
      <c r="J44" s="54"/>
      <c r="K44" s="50" t="s">
        <v>175</v>
      </c>
      <c r="L44" s="34"/>
      <c r="M44" s="51">
        <v>8.0</v>
      </c>
      <c r="N44" s="54"/>
      <c r="O44" s="50" t="s">
        <v>176</v>
      </c>
      <c r="P44" s="34"/>
      <c r="Q44" s="51">
        <v>8.0</v>
      </c>
      <c r="R44" s="54"/>
      <c r="S44" s="50" t="s">
        <v>177</v>
      </c>
      <c r="T44" s="34"/>
      <c r="U44" s="51">
        <v>18.0</v>
      </c>
      <c r="V44" s="54"/>
    </row>
    <row r="45" ht="14.25" customHeight="1">
      <c r="B45" s="108"/>
      <c r="C45" s="56" t="s">
        <v>178</v>
      </c>
      <c r="D45" s="3"/>
      <c r="E45" s="57">
        <v>14.0</v>
      </c>
      <c r="F45" s="54"/>
      <c r="G45" s="56" t="s">
        <v>179</v>
      </c>
      <c r="H45" s="3"/>
      <c r="I45" s="57">
        <v>41.0</v>
      </c>
      <c r="J45" s="54"/>
      <c r="K45" s="56" t="s">
        <v>180</v>
      </c>
      <c r="L45" s="3"/>
      <c r="M45" s="57">
        <v>29.0</v>
      </c>
      <c r="N45" s="54"/>
      <c r="O45" s="56" t="s">
        <v>181</v>
      </c>
      <c r="P45" s="3"/>
      <c r="Q45" s="57">
        <v>39.0</v>
      </c>
      <c r="R45" s="54"/>
      <c r="S45" s="56" t="s">
        <v>182</v>
      </c>
      <c r="T45" s="3"/>
      <c r="U45" s="57">
        <v>11.0</v>
      </c>
      <c r="V45" s="54"/>
    </row>
    <row r="46" ht="14.25" customHeight="1">
      <c r="B46" s="108"/>
      <c r="C46" s="56" t="s">
        <v>183</v>
      </c>
      <c r="D46" s="3"/>
      <c r="E46" s="57">
        <v>5.0</v>
      </c>
      <c r="F46" s="54"/>
      <c r="G46" s="56" t="s">
        <v>184</v>
      </c>
      <c r="H46" s="3"/>
      <c r="I46" s="57">
        <v>10.0</v>
      </c>
      <c r="J46" s="54"/>
      <c r="K46" s="56" t="s">
        <v>185</v>
      </c>
      <c r="L46" s="3"/>
      <c r="M46" s="57">
        <v>11.0</v>
      </c>
      <c r="N46" s="54"/>
      <c r="O46" s="56" t="s">
        <v>186</v>
      </c>
      <c r="P46" s="3"/>
      <c r="Q46" s="57">
        <v>25.0</v>
      </c>
      <c r="R46" s="54"/>
      <c r="S46" s="56" t="s">
        <v>187</v>
      </c>
      <c r="T46" s="3"/>
      <c r="U46" s="57">
        <v>21.0</v>
      </c>
      <c r="V46" s="54"/>
    </row>
    <row r="47" ht="14.25" customHeight="1">
      <c r="B47" s="109" t="s">
        <v>54</v>
      </c>
      <c r="C47" s="56" t="s">
        <v>188</v>
      </c>
      <c r="D47" s="3"/>
      <c r="E47" s="57">
        <v>8.0</v>
      </c>
      <c r="F47" s="54"/>
      <c r="G47" s="56" t="s">
        <v>189</v>
      </c>
      <c r="H47" s="3"/>
      <c r="I47" s="57">
        <v>6.0</v>
      </c>
      <c r="J47" s="54"/>
      <c r="K47" s="56" t="s">
        <v>190</v>
      </c>
      <c r="L47" s="3"/>
      <c r="M47" s="57">
        <v>4.0</v>
      </c>
      <c r="N47" s="54"/>
      <c r="O47" s="56" t="s">
        <v>191</v>
      </c>
      <c r="P47" s="3"/>
      <c r="Q47" s="57">
        <v>6.0</v>
      </c>
      <c r="R47" s="54"/>
      <c r="S47" s="56" t="s">
        <v>192</v>
      </c>
      <c r="T47" s="3"/>
      <c r="U47" s="57">
        <v>10.0</v>
      </c>
      <c r="V47" s="54"/>
    </row>
    <row r="48" ht="14.25" customHeight="1">
      <c r="B48" s="108"/>
      <c r="C48" s="56" t="s">
        <v>193</v>
      </c>
      <c r="D48" s="3"/>
      <c r="E48" s="57">
        <v>5.0</v>
      </c>
      <c r="F48" s="54"/>
      <c r="G48" s="56" t="s">
        <v>194</v>
      </c>
      <c r="H48" s="3"/>
      <c r="I48" s="57">
        <v>4.0</v>
      </c>
      <c r="J48" s="54"/>
      <c r="K48" s="56" t="s">
        <v>195</v>
      </c>
      <c r="L48" s="3"/>
      <c r="M48" s="57">
        <v>9.0</v>
      </c>
      <c r="N48" s="54"/>
      <c r="O48" s="56" t="s">
        <v>196</v>
      </c>
      <c r="P48" s="3"/>
      <c r="Q48" s="57">
        <v>8.0</v>
      </c>
      <c r="R48" s="54"/>
      <c r="S48" s="56" t="s">
        <v>197</v>
      </c>
      <c r="T48" s="3"/>
      <c r="U48" s="57">
        <v>1.0</v>
      </c>
      <c r="V48" s="54"/>
    </row>
    <row r="49" ht="14.25" customHeight="1">
      <c r="B49" s="108"/>
      <c r="C49" s="56" t="s">
        <v>198</v>
      </c>
      <c r="D49" s="3"/>
      <c r="E49" s="57">
        <v>7.0</v>
      </c>
      <c r="F49" s="54"/>
      <c r="G49" s="56" t="s">
        <v>199</v>
      </c>
      <c r="H49" s="3"/>
      <c r="I49" s="57">
        <v>2.0</v>
      </c>
      <c r="J49" s="54"/>
      <c r="K49" s="56" t="s">
        <v>200</v>
      </c>
      <c r="L49" s="3"/>
      <c r="M49" s="57">
        <v>9.0</v>
      </c>
      <c r="N49" s="54"/>
      <c r="O49" s="56" t="s">
        <v>201</v>
      </c>
      <c r="P49" s="3"/>
      <c r="Q49" s="57">
        <v>7.0</v>
      </c>
      <c r="R49" s="54"/>
      <c r="S49" s="56" t="s">
        <v>202</v>
      </c>
      <c r="T49" s="3"/>
      <c r="U49" s="57">
        <v>1.0</v>
      </c>
      <c r="V49" s="54"/>
    </row>
    <row r="50" ht="14.25" customHeight="1">
      <c r="B50" s="108"/>
      <c r="C50" s="56" t="s">
        <v>203</v>
      </c>
      <c r="D50" s="3"/>
      <c r="E50" s="57">
        <v>1.0</v>
      </c>
      <c r="F50" s="54"/>
      <c r="G50" s="56" t="s">
        <v>204</v>
      </c>
      <c r="H50" s="3"/>
      <c r="I50" s="57">
        <v>1.0</v>
      </c>
      <c r="J50" s="54"/>
      <c r="K50" s="56" t="s">
        <v>205</v>
      </c>
      <c r="L50" s="3"/>
      <c r="M50" s="57">
        <v>2.0</v>
      </c>
      <c r="N50" s="54"/>
      <c r="O50" s="56" t="s">
        <v>206</v>
      </c>
      <c r="P50" s="3"/>
      <c r="Q50" s="57">
        <v>9.0</v>
      </c>
      <c r="R50" s="54"/>
      <c r="S50" s="56" t="s">
        <v>207</v>
      </c>
      <c r="T50" s="3"/>
      <c r="U50" s="57">
        <v>1.0</v>
      </c>
      <c r="V50" s="54"/>
    </row>
    <row r="51" ht="14.25" customHeight="1">
      <c r="B51" s="110"/>
      <c r="C51" s="60" t="s">
        <v>208</v>
      </c>
      <c r="D51" s="61"/>
      <c r="E51" s="62">
        <v>2.0</v>
      </c>
      <c r="F51" s="65">
        <f>SUM(E44:E51)</f>
        <v>60</v>
      </c>
      <c r="G51" s="60" t="s">
        <v>209</v>
      </c>
      <c r="H51" s="61"/>
      <c r="I51" s="62">
        <v>1.0</v>
      </c>
      <c r="J51" s="65">
        <f>SUM(I44:I51)</f>
        <v>80</v>
      </c>
      <c r="K51" s="60" t="s">
        <v>210</v>
      </c>
      <c r="L51" s="61"/>
      <c r="M51" s="62">
        <v>1.0</v>
      </c>
      <c r="N51" s="65">
        <f>SUM(M44:M51)</f>
        <v>73</v>
      </c>
      <c r="O51" s="60" t="s">
        <v>211</v>
      </c>
      <c r="P51" s="61"/>
      <c r="Q51" s="62">
        <v>1.0</v>
      </c>
      <c r="R51" s="65">
        <f>SUM(Q44:Q51)</f>
        <v>103</v>
      </c>
      <c r="S51" s="60" t="s">
        <v>212</v>
      </c>
      <c r="T51" s="61"/>
      <c r="U51" s="62">
        <v>1.0</v>
      </c>
      <c r="V51" s="65">
        <f>SUM(U44:U51)</f>
        <v>64</v>
      </c>
    </row>
    <row r="52" ht="14.25" customHeight="1">
      <c r="B52" s="111"/>
      <c r="C52" s="67" t="s">
        <v>213</v>
      </c>
      <c r="D52" s="68"/>
      <c r="E52" s="69">
        <v>11.0</v>
      </c>
      <c r="F52" s="72"/>
      <c r="G52" s="67" t="s">
        <v>214</v>
      </c>
      <c r="H52" s="68"/>
      <c r="I52" s="69">
        <v>19.0</v>
      </c>
      <c r="J52" s="72"/>
      <c r="K52" s="67" t="s">
        <v>215</v>
      </c>
      <c r="L52" s="68"/>
      <c r="M52" s="69">
        <v>64.0</v>
      </c>
      <c r="N52" s="72"/>
      <c r="O52" s="67" t="s">
        <v>216</v>
      </c>
      <c r="P52" s="68"/>
      <c r="Q52" s="69">
        <v>8.0</v>
      </c>
      <c r="R52" s="72"/>
      <c r="S52" s="67" t="s">
        <v>217</v>
      </c>
      <c r="T52" s="68"/>
      <c r="U52" s="69">
        <v>37.0</v>
      </c>
      <c r="V52" s="72"/>
    </row>
    <row r="53" ht="14.25" customHeight="1">
      <c r="B53" s="112"/>
      <c r="C53" s="74" t="s">
        <v>218</v>
      </c>
      <c r="D53" s="3"/>
      <c r="E53" s="75">
        <v>18.0</v>
      </c>
      <c r="F53" s="72"/>
      <c r="G53" s="74" t="s">
        <v>219</v>
      </c>
      <c r="H53" s="3"/>
      <c r="I53" s="75">
        <v>22.0</v>
      </c>
      <c r="J53" s="72"/>
      <c r="K53" s="74" t="s">
        <v>220</v>
      </c>
      <c r="L53" s="3"/>
      <c r="M53" s="75">
        <v>30.0</v>
      </c>
      <c r="N53" s="72"/>
      <c r="O53" s="74" t="s">
        <v>221</v>
      </c>
      <c r="P53" s="3"/>
      <c r="Q53" s="75">
        <v>19.0</v>
      </c>
      <c r="R53" s="72"/>
      <c r="S53" s="74" t="s">
        <v>222</v>
      </c>
      <c r="T53" s="3"/>
      <c r="U53" s="75">
        <v>13.0</v>
      </c>
      <c r="V53" s="72"/>
    </row>
    <row r="54" ht="14.25" customHeight="1">
      <c r="B54" s="112"/>
      <c r="C54" s="74" t="s">
        <v>223</v>
      </c>
      <c r="D54" s="3"/>
      <c r="E54" s="75">
        <v>2.0</v>
      </c>
      <c r="F54" s="72"/>
      <c r="G54" s="74" t="s">
        <v>224</v>
      </c>
      <c r="H54" s="3"/>
      <c r="I54" s="75">
        <v>41.0</v>
      </c>
      <c r="J54" s="72"/>
      <c r="K54" s="74" t="s">
        <v>225</v>
      </c>
      <c r="L54" s="3"/>
      <c r="M54" s="75">
        <v>13.0</v>
      </c>
      <c r="N54" s="72"/>
      <c r="O54" s="74" t="s">
        <v>226</v>
      </c>
      <c r="P54" s="3"/>
      <c r="Q54" s="75">
        <v>16.0</v>
      </c>
      <c r="R54" s="72"/>
      <c r="S54" s="74" t="s">
        <v>227</v>
      </c>
      <c r="T54" s="3"/>
      <c r="U54" s="75">
        <v>8.0</v>
      </c>
      <c r="V54" s="72"/>
    </row>
    <row r="55" ht="14.25" customHeight="1">
      <c r="B55" s="113" t="s">
        <v>95</v>
      </c>
      <c r="C55" s="74" t="s">
        <v>228</v>
      </c>
      <c r="D55" s="3"/>
      <c r="E55" s="75">
        <v>3.0</v>
      </c>
      <c r="F55" s="72"/>
      <c r="G55" s="74" t="s">
        <v>229</v>
      </c>
      <c r="H55" s="3"/>
      <c r="I55" s="75">
        <v>13.0</v>
      </c>
      <c r="J55" s="72"/>
      <c r="K55" s="74" t="s">
        <v>230</v>
      </c>
      <c r="L55" s="3"/>
      <c r="M55" s="75">
        <v>9.0</v>
      </c>
      <c r="N55" s="72"/>
      <c r="O55" s="74" t="s">
        <v>231</v>
      </c>
      <c r="P55" s="3"/>
      <c r="Q55" s="75">
        <v>10.0</v>
      </c>
      <c r="R55" s="72"/>
      <c r="S55" s="74" t="s">
        <v>232</v>
      </c>
      <c r="T55" s="3"/>
      <c r="U55" s="75">
        <v>1.0</v>
      </c>
      <c r="V55" s="72"/>
    </row>
    <row r="56" ht="14.25" customHeight="1">
      <c r="B56" s="112"/>
      <c r="C56" s="74" t="s">
        <v>233</v>
      </c>
      <c r="D56" s="3"/>
      <c r="E56" s="75">
        <v>8.0</v>
      </c>
      <c r="F56" s="72"/>
      <c r="G56" s="74" t="s">
        <v>234</v>
      </c>
      <c r="H56" s="3"/>
      <c r="I56" s="75">
        <v>2.0</v>
      </c>
      <c r="J56" s="72"/>
      <c r="K56" s="74" t="s">
        <v>235</v>
      </c>
      <c r="L56" s="3"/>
      <c r="M56" s="75">
        <v>13.0</v>
      </c>
      <c r="N56" s="72"/>
      <c r="O56" s="74" t="s">
        <v>236</v>
      </c>
      <c r="P56" s="3"/>
      <c r="Q56" s="75">
        <v>7.0</v>
      </c>
      <c r="R56" s="72"/>
      <c r="S56" s="74" t="s">
        <v>237</v>
      </c>
      <c r="T56" s="3"/>
      <c r="U56" s="75">
        <v>21.0</v>
      </c>
      <c r="V56" s="72"/>
    </row>
    <row r="57" ht="14.25" customHeight="1">
      <c r="B57" s="112"/>
      <c r="C57" s="74" t="s">
        <v>238</v>
      </c>
      <c r="D57" s="3"/>
      <c r="E57" s="75">
        <v>3.0</v>
      </c>
      <c r="F57" s="72"/>
      <c r="G57" s="74" t="s">
        <v>239</v>
      </c>
      <c r="H57" s="3"/>
      <c r="I57" s="75">
        <v>1.0</v>
      </c>
      <c r="J57" s="72"/>
      <c r="K57" s="74" t="s">
        <v>240</v>
      </c>
      <c r="L57" s="3"/>
      <c r="M57" s="75">
        <v>8.0</v>
      </c>
      <c r="N57" s="72"/>
      <c r="O57" s="74" t="s">
        <v>241</v>
      </c>
      <c r="P57" s="3"/>
      <c r="Q57" s="75">
        <v>5.0</v>
      </c>
      <c r="R57" s="72"/>
      <c r="S57" s="74" t="s">
        <v>242</v>
      </c>
      <c r="T57" s="3"/>
      <c r="U57" s="75">
        <v>22.0</v>
      </c>
      <c r="V57" s="72"/>
    </row>
    <row r="58" ht="14.25" customHeight="1">
      <c r="B58" s="112"/>
      <c r="C58" s="74" t="s">
        <v>243</v>
      </c>
      <c r="D58" s="3"/>
      <c r="E58" s="75">
        <v>1.0</v>
      </c>
      <c r="F58" s="72"/>
      <c r="G58" s="74" t="s">
        <v>244</v>
      </c>
      <c r="H58" s="3"/>
      <c r="I58" s="75">
        <v>1.0</v>
      </c>
      <c r="J58" s="72"/>
      <c r="K58" s="74" t="s">
        <v>245</v>
      </c>
      <c r="L58" s="3"/>
      <c r="M58" s="75">
        <v>2.0</v>
      </c>
      <c r="N58" s="72"/>
      <c r="O58" s="74" t="s">
        <v>246</v>
      </c>
      <c r="P58" s="3"/>
      <c r="Q58" s="75">
        <v>3.0</v>
      </c>
      <c r="R58" s="72"/>
      <c r="S58" s="74" t="s">
        <v>247</v>
      </c>
      <c r="T58" s="3"/>
      <c r="U58" s="75">
        <v>10.0</v>
      </c>
      <c r="V58" s="72"/>
    </row>
    <row r="59" ht="14.25" customHeight="1">
      <c r="B59" s="114"/>
      <c r="C59" s="78" t="s">
        <v>248</v>
      </c>
      <c r="D59" s="61"/>
      <c r="E59" s="79">
        <v>2.0</v>
      </c>
      <c r="F59" s="82">
        <f>SUM(E52:E59)</f>
        <v>48</v>
      </c>
      <c r="G59" s="78" t="s">
        <v>249</v>
      </c>
      <c r="H59" s="61"/>
      <c r="I59" s="79">
        <v>1.0</v>
      </c>
      <c r="J59" s="82">
        <f>SUM(I52:I59)</f>
        <v>100</v>
      </c>
      <c r="K59" s="78" t="s">
        <v>250</v>
      </c>
      <c r="L59" s="61"/>
      <c r="M59" s="79">
        <v>13.0</v>
      </c>
      <c r="N59" s="82">
        <f>SUM(M52:M59)</f>
        <v>152</v>
      </c>
      <c r="O59" s="78" t="s">
        <v>251</v>
      </c>
      <c r="P59" s="61"/>
      <c r="Q59" s="79">
        <v>1.0</v>
      </c>
      <c r="R59" s="82">
        <f>SUM(Q52:Q59)</f>
        <v>69</v>
      </c>
      <c r="S59" s="78" t="s">
        <v>252</v>
      </c>
      <c r="T59" s="61"/>
      <c r="U59" s="79">
        <v>3.0</v>
      </c>
      <c r="V59" s="82">
        <f>SUM(U52:U59)</f>
        <v>115</v>
      </c>
    </row>
    <row r="60" ht="14.25" customHeight="1">
      <c r="B60" s="115"/>
      <c r="C60" s="84" t="s">
        <v>253</v>
      </c>
      <c r="D60" s="68"/>
      <c r="E60" s="85">
        <v>76.0</v>
      </c>
      <c r="F60" s="88"/>
      <c r="G60" s="84" t="s">
        <v>254</v>
      </c>
      <c r="H60" s="68"/>
      <c r="I60" s="85">
        <v>101.0</v>
      </c>
      <c r="J60" s="88"/>
      <c r="K60" s="84" t="s">
        <v>255</v>
      </c>
      <c r="L60" s="68"/>
      <c r="M60" s="85">
        <v>147.0</v>
      </c>
      <c r="N60" s="88"/>
      <c r="O60" s="84" t="s">
        <v>256</v>
      </c>
      <c r="P60" s="68"/>
      <c r="Q60" s="85">
        <v>150.0</v>
      </c>
      <c r="R60" s="88"/>
      <c r="S60" s="84" t="s">
        <v>257</v>
      </c>
      <c r="T60" s="68"/>
      <c r="U60" s="85">
        <v>174.0</v>
      </c>
      <c r="V60" s="88"/>
    </row>
    <row r="61" ht="14.25" customHeight="1">
      <c r="B61" s="116"/>
      <c r="C61" s="90" t="s">
        <v>258</v>
      </c>
      <c r="D61" s="3"/>
      <c r="E61" s="91">
        <v>74.0</v>
      </c>
      <c r="F61" s="88"/>
      <c r="G61" s="90" t="s">
        <v>259</v>
      </c>
      <c r="H61" s="3"/>
      <c r="I61" s="91">
        <v>37.0</v>
      </c>
      <c r="J61" s="88"/>
      <c r="K61" s="90" t="s">
        <v>260</v>
      </c>
      <c r="L61" s="3"/>
      <c r="M61" s="91">
        <v>45.0</v>
      </c>
      <c r="N61" s="88"/>
      <c r="O61" s="90" t="s">
        <v>261</v>
      </c>
      <c r="P61" s="3"/>
      <c r="Q61" s="91">
        <v>64.0</v>
      </c>
      <c r="R61" s="88"/>
      <c r="S61" s="90" t="s">
        <v>262</v>
      </c>
      <c r="T61" s="3"/>
      <c r="U61" s="91">
        <v>92.0</v>
      </c>
      <c r="V61" s="88"/>
    </row>
    <row r="62" ht="14.25" customHeight="1">
      <c r="B62" s="117" t="s">
        <v>131</v>
      </c>
      <c r="C62" s="90" t="s">
        <v>263</v>
      </c>
      <c r="D62" s="3"/>
      <c r="E62" s="91">
        <v>101.0</v>
      </c>
      <c r="F62" s="88"/>
      <c r="G62" s="90" t="s">
        <v>264</v>
      </c>
      <c r="H62" s="3"/>
      <c r="I62" s="91">
        <v>53.0</v>
      </c>
      <c r="J62" s="88"/>
      <c r="K62" s="90" t="s">
        <v>265</v>
      </c>
      <c r="L62" s="3"/>
      <c r="M62" s="91">
        <v>30.0</v>
      </c>
      <c r="N62" s="88"/>
      <c r="O62" s="90" t="s">
        <v>266</v>
      </c>
      <c r="P62" s="3"/>
      <c r="Q62" s="91">
        <v>31.0</v>
      </c>
      <c r="R62" s="88"/>
      <c r="S62" s="90" t="s">
        <v>267</v>
      </c>
      <c r="T62" s="3"/>
      <c r="U62" s="91">
        <v>8.0</v>
      </c>
      <c r="V62" s="88"/>
    </row>
    <row r="63" ht="14.25" customHeight="1">
      <c r="B63" s="116"/>
      <c r="C63" s="90" t="s">
        <v>268</v>
      </c>
      <c r="D63" s="3"/>
      <c r="E63" s="91">
        <v>31.0</v>
      </c>
      <c r="F63" s="88"/>
      <c r="G63" s="90" t="s">
        <v>269</v>
      </c>
      <c r="H63" s="3"/>
      <c r="I63" s="91">
        <v>1.0</v>
      </c>
      <c r="J63" s="88"/>
      <c r="K63" s="90" t="s">
        <v>270</v>
      </c>
      <c r="L63" s="3"/>
      <c r="M63" s="91">
        <v>21.0</v>
      </c>
      <c r="N63" s="88"/>
      <c r="O63" s="90" t="s">
        <v>271</v>
      </c>
      <c r="P63" s="3"/>
      <c r="Q63" s="91">
        <v>37.0</v>
      </c>
      <c r="R63" s="88"/>
      <c r="S63" s="90" t="s">
        <v>272</v>
      </c>
      <c r="T63" s="3"/>
      <c r="U63" s="91">
        <v>18.0</v>
      </c>
      <c r="V63" s="88"/>
    </row>
    <row r="64" ht="14.25" customHeight="1">
      <c r="B64" s="116"/>
      <c r="C64" s="90" t="s">
        <v>273</v>
      </c>
      <c r="D64" s="3"/>
      <c r="E64" s="91">
        <v>15.0</v>
      </c>
      <c r="F64" s="88"/>
      <c r="G64" s="90" t="s">
        <v>274</v>
      </c>
      <c r="H64" s="3"/>
      <c r="I64" s="91">
        <v>40.0</v>
      </c>
      <c r="J64" s="88"/>
      <c r="K64" s="90" t="s">
        <v>275</v>
      </c>
      <c r="L64" s="3"/>
      <c r="M64" s="91">
        <v>1.0</v>
      </c>
      <c r="N64" s="88"/>
      <c r="O64" s="90" t="s">
        <v>276</v>
      </c>
      <c r="P64" s="3"/>
      <c r="Q64" s="91">
        <v>1.0</v>
      </c>
      <c r="R64" s="88"/>
      <c r="S64" s="90" t="s">
        <v>277</v>
      </c>
      <c r="T64" s="3"/>
      <c r="U64" s="91">
        <v>1.0</v>
      </c>
      <c r="V64" s="88"/>
    </row>
    <row r="65" ht="14.25" customHeight="1">
      <c r="B65" s="118"/>
      <c r="C65" s="94" t="s">
        <v>278</v>
      </c>
      <c r="D65" s="61"/>
      <c r="E65" s="95">
        <v>1.0</v>
      </c>
      <c r="F65" s="98">
        <f>SUM(E60:E65)</f>
        <v>298</v>
      </c>
      <c r="G65" s="94" t="s">
        <v>279</v>
      </c>
      <c r="H65" s="61"/>
      <c r="I65" s="95">
        <v>29.0</v>
      </c>
      <c r="J65" s="98">
        <f>SUM(I60:I65)</f>
        <v>261</v>
      </c>
      <c r="K65" s="94" t="s">
        <v>280</v>
      </c>
      <c r="L65" s="61"/>
      <c r="M65" s="95">
        <v>1.0</v>
      </c>
      <c r="N65" s="98">
        <f>SUM(M60:M65)</f>
        <v>245</v>
      </c>
      <c r="O65" s="94" t="s">
        <v>281</v>
      </c>
      <c r="P65" s="61"/>
      <c r="Q65" s="95">
        <v>1.0</v>
      </c>
      <c r="R65" s="98">
        <f>SUM(Q60:Q65)</f>
        <v>284</v>
      </c>
      <c r="S65" s="94" t="s">
        <v>282</v>
      </c>
      <c r="T65" s="61"/>
      <c r="U65" s="95">
        <v>1.0</v>
      </c>
      <c r="V65" s="98">
        <f>SUM(U60:U65)</f>
        <v>294</v>
      </c>
    </row>
    <row r="66" ht="14.25" customHeight="1">
      <c r="C66" s="23" t="s">
        <v>152</v>
      </c>
      <c r="D66" s="22"/>
      <c r="E66" s="102">
        <f>SUM(E41:E65)</f>
        <v>464</v>
      </c>
      <c r="F66" s="101"/>
      <c r="G66" s="23" t="s">
        <v>152</v>
      </c>
      <c r="H66" s="22"/>
      <c r="I66" s="102">
        <f>SUM(I41:I65)</f>
        <v>494</v>
      </c>
      <c r="J66" s="101"/>
      <c r="K66" s="23" t="s">
        <v>152</v>
      </c>
      <c r="L66" s="22"/>
      <c r="M66" s="102">
        <f>SUM(M41:M65)</f>
        <v>496</v>
      </c>
      <c r="N66" s="101"/>
      <c r="O66" s="23" t="s">
        <v>152</v>
      </c>
      <c r="P66" s="22"/>
      <c r="Q66" s="102">
        <f>SUM(Q41:Q65)</f>
        <v>500</v>
      </c>
      <c r="R66" s="101"/>
      <c r="S66" s="23" t="s">
        <v>152</v>
      </c>
      <c r="T66" s="22"/>
      <c r="U66" s="102">
        <f>SUM(U41:U65)</f>
        <v>492</v>
      </c>
      <c r="V66" s="101"/>
    </row>
    <row r="67" ht="14.25" customHeight="1">
      <c r="C67" s="23" t="s">
        <v>153</v>
      </c>
      <c r="D67" s="22"/>
      <c r="E67" s="102">
        <f>500-E66</f>
        <v>36</v>
      </c>
      <c r="F67" s="103"/>
      <c r="G67" s="23" t="s">
        <v>153</v>
      </c>
      <c r="H67" s="22"/>
      <c r="I67" s="102">
        <f>500-I66</f>
        <v>6</v>
      </c>
      <c r="J67" s="103"/>
      <c r="K67" s="23" t="s">
        <v>153</v>
      </c>
      <c r="L67" s="22"/>
      <c r="M67" s="102">
        <f>500-M66</f>
        <v>4</v>
      </c>
      <c r="N67" s="103"/>
      <c r="O67" s="23" t="s">
        <v>153</v>
      </c>
      <c r="P67" s="22"/>
      <c r="Q67" s="102">
        <f>500-Q66</f>
        <v>0</v>
      </c>
      <c r="R67" s="103"/>
      <c r="S67" s="23" t="s">
        <v>153</v>
      </c>
      <c r="T67" s="22"/>
      <c r="U67" s="102">
        <f>500-U66</f>
        <v>8</v>
      </c>
      <c r="V67" s="103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1">
    <mergeCell ref="S62:T62"/>
    <mergeCell ref="S63:T63"/>
    <mergeCell ref="O58:P58"/>
    <mergeCell ref="O59:P59"/>
    <mergeCell ref="O60:P60"/>
    <mergeCell ref="O61:P61"/>
    <mergeCell ref="S61:T61"/>
    <mergeCell ref="O62:P62"/>
    <mergeCell ref="O63:P63"/>
    <mergeCell ref="O9:P9"/>
    <mergeCell ref="O10:P10"/>
    <mergeCell ref="O11:P11"/>
    <mergeCell ref="O12:P12"/>
    <mergeCell ref="O13:P13"/>
    <mergeCell ref="O14:P14"/>
    <mergeCell ref="O15:P15"/>
    <mergeCell ref="O25:P25"/>
    <mergeCell ref="O26:P26"/>
    <mergeCell ref="O30:P30"/>
    <mergeCell ref="O31:P31"/>
    <mergeCell ref="O32:P32"/>
    <mergeCell ref="O39:R39"/>
    <mergeCell ref="S39:V39"/>
    <mergeCell ref="O41:P41"/>
    <mergeCell ref="S41:T41"/>
    <mergeCell ref="O42:P42"/>
    <mergeCell ref="S42:T42"/>
    <mergeCell ref="O43:P43"/>
    <mergeCell ref="S43:T43"/>
    <mergeCell ref="S44:T44"/>
    <mergeCell ref="O44:P44"/>
    <mergeCell ref="O45:P45"/>
    <mergeCell ref="O46:P46"/>
    <mergeCell ref="O47:P47"/>
    <mergeCell ref="O48:P48"/>
    <mergeCell ref="O49:P49"/>
    <mergeCell ref="O50:P50"/>
    <mergeCell ref="S45:T45"/>
    <mergeCell ref="S46:T46"/>
    <mergeCell ref="S47:T47"/>
    <mergeCell ref="S48:T48"/>
    <mergeCell ref="S49:T49"/>
    <mergeCell ref="S50:T50"/>
    <mergeCell ref="S51:T51"/>
    <mergeCell ref="O51:P51"/>
    <mergeCell ref="O52:P52"/>
    <mergeCell ref="O53:P53"/>
    <mergeCell ref="O54:P54"/>
    <mergeCell ref="O55:P55"/>
    <mergeCell ref="O56:P56"/>
    <mergeCell ref="O57:P57"/>
    <mergeCell ref="O64:P64"/>
    <mergeCell ref="S64:T64"/>
    <mergeCell ref="G6:H6"/>
    <mergeCell ref="K6:L6"/>
    <mergeCell ref="C7:D7"/>
    <mergeCell ref="G7:H7"/>
    <mergeCell ref="K7:L7"/>
    <mergeCell ref="G8:H8"/>
    <mergeCell ref="K8:L8"/>
    <mergeCell ref="C8:D8"/>
    <mergeCell ref="C9:D9"/>
    <mergeCell ref="G9:H9"/>
    <mergeCell ref="K9:L9"/>
    <mergeCell ref="C10:D10"/>
    <mergeCell ref="K10:L10"/>
    <mergeCell ref="K11:L11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9:J39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66:H66"/>
    <mergeCell ref="G67:H67"/>
    <mergeCell ref="G59:H59"/>
    <mergeCell ref="G60:H60"/>
    <mergeCell ref="G61:H61"/>
    <mergeCell ref="G62:H62"/>
    <mergeCell ref="G63:H63"/>
    <mergeCell ref="G64:H64"/>
    <mergeCell ref="G65:H65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9:F39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0:D60"/>
    <mergeCell ref="C61:D61"/>
    <mergeCell ref="C62:D62"/>
    <mergeCell ref="C63:D63"/>
    <mergeCell ref="C64:D64"/>
    <mergeCell ref="C65:D65"/>
    <mergeCell ref="C66:D66"/>
    <mergeCell ref="C67:D67"/>
    <mergeCell ref="C53:D53"/>
    <mergeCell ref="C54:D54"/>
    <mergeCell ref="C55:D55"/>
    <mergeCell ref="C56:D56"/>
    <mergeCell ref="C57:D57"/>
    <mergeCell ref="C58:D58"/>
    <mergeCell ref="C59:D59"/>
    <mergeCell ref="O23:P23"/>
    <mergeCell ref="O24:P24"/>
    <mergeCell ref="O16:P16"/>
    <mergeCell ref="O17:P17"/>
    <mergeCell ref="O18:P18"/>
    <mergeCell ref="O19:P19"/>
    <mergeCell ref="O20:P20"/>
    <mergeCell ref="O21:P21"/>
    <mergeCell ref="O22:P22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30:L30"/>
    <mergeCell ref="K31:L31"/>
    <mergeCell ref="K32:L32"/>
    <mergeCell ref="K39:N39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65:L65"/>
    <mergeCell ref="K66:L66"/>
    <mergeCell ref="K67:L67"/>
    <mergeCell ref="K58:L58"/>
    <mergeCell ref="K59:L59"/>
    <mergeCell ref="K60:L60"/>
    <mergeCell ref="K61:L61"/>
    <mergeCell ref="K62:L62"/>
    <mergeCell ref="K63:L63"/>
    <mergeCell ref="K64:L64"/>
    <mergeCell ref="H1:Q1"/>
    <mergeCell ref="C4:F4"/>
    <mergeCell ref="G4:J4"/>
    <mergeCell ref="K4:N4"/>
    <mergeCell ref="O4:R4"/>
    <mergeCell ref="S4:V4"/>
    <mergeCell ref="C6:D6"/>
    <mergeCell ref="O6:P6"/>
    <mergeCell ref="S6:T6"/>
    <mergeCell ref="O7:P7"/>
    <mergeCell ref="S7:T7"/>
    <mergeCell ref="O8:P8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K26:L26"/>
    <mergeCell ref="K27:L27"/>
    <mergeCell ref="O27:P27"/>
    <mergeCell ref="O28:P28"/>
    <mergeCell ref="O29:P29"/>
    <mergeCell ref="K28:L28"/>
    <mergeCell ref="K29:L29"/>
    <mergeCell ref="S31:T31"/>
    <mergeCell ref="S32:T32"/>
    <mergeCell ref="S24:T24"/>
    <mergeCell ref="S25:T25"/>
    <mergeCell ref="S26:T26"/>
    <mergeCell ref="S27:T27"/>
    <mergeCell ref="S28:T28"/>
    <mergeCell ref="S29:T29"/>
    <mergeCell ref="S30:T30"/>
    <mergeCell ref="S59:T59"/>
    <mergeCell ref="S60:T60"/>
    <mergeCell ref="O65:P65"/>
    <mergeCell ref="S65:T65"/>
    <mergeCell ref="O66:P66"/>
    <mergeCell ref="S66:T66"/>
    <mergeCell ref="O67:P67"/>
    <mergeCell ref="S67:T67"/>
    <mergeCell ref="S52:T52"/>
    <mergeCell ref="S53:T53"/>
    <mergeCell ref="S54:T54"/>
    <mergeCell ref="S55:T55"/>
    <mergeCell ref="S56:T56"/>
    <mergeCell ref="S57:T57"/>
    <mergeCell ref="S58:T5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57"/>
    <col customWidth="1" min="7" max="22" width="8.71"/>
    <col customWidth="1" min="23" max="26" width="16.43"/>
  </cols>
  <sheetData>
    <row r="1" ht="28.5" customHeight="1">
      <c r="H1" s="20" t="s">
        <v>283</v>
      </c>
      <c r="I1" s="21"/>
      <c r="J1" s="21"/>
      <c r="K1" s="21"/>
      <c r="L1" s="21"/>
      <c r="M1" s="21"/>
      <c r="N1" s="21"/>
      <c r="O1" s="21"/>
      <c r="P1" s="21"/>
      <c r="Q1" s="22"/>
    </row>
    <row r="2" ht="14.25" customHeight="1"/>
    <row r="3" ht="14.25" customHeight="1"/>
    <row r="4" ht="14.25" customHeight="1">
      <c r="C4" s="23" t="s">
        <v>11</v>
      </c>
      <c r="D4" s="21"/>
      <c r="E4" s="21"/>
      <c r="F4" s="22"/>
      <c r="G4" s="23" t="s">
        <v>15</v>
      </c>
      <c r="H4" s="21"/>
      <c r="I4" s="21"/>
      <c r="J4" s="22"/>
      <c r="K4" s="23" t="s">
        <v>14</v>
      </c>
      <c r="L4" s="21"/>
      <c r="M4" s="21"/>
      <c r="N4" s="22"/>
      <c r="O4" s="23" t="s">
        <v>13</v>
      </c>
      <c r="P4" s="21"/>
      <c r="Q4" s="21"/>
      <c r="R4" s="22"/>
      <c r="S4" s="24" t="s">
        <v>16</v>
      </c>
      <c r="T4" s="21"/>
      <c r="U4" s="21"/>
      <c r="V4" s="22"/>
    </row>
    <row r="5" ht="14.25" customHeight="1">
      <c r="C5" s="25" t="s">
        <v>20</v>
      </c>
      <c r="D5" s="26"/>
      <c r="E5" s="27" t="s">
        <v>21</v>
      </c>
      <c r="F5" s="28" t="s">
        <v>22</v>
      </c>
      <c r="G5" s="25" t="s">
        <v>20</v>
      </c>
      <c r="H5" s="26"/>
      <c r="I5" s="27" t="s">
        <v>21</v>
      </c>
      <c r="J5" s="28" t="s">
        <v>22</v>
      </c>
      <c r="K5" s="29" t="s">
        <v>20</v>
      </c>
      <c r="L5" s="30"/>
      <c r="M5" s="31" t="s">
        <v>21</v>
      </c>
      <c r="N5" s="28" t="s">
        <v>22</v>
      </c>
      <c r="O5" s="29" t="s">
        <v>20</v>
      </c>
      <c r="P5" s="30"/>
      <c r="Q5" s="31" t="s">
        <v>21</v>
      </c>
      <c r="R5" s="28" t="s">
        <v>22</v>
      </c>
      <c r="S5" s="29" t="s">
        <v>20</v>
      </c>
      <c r="T5" s="30"/>
      <c r="U5" s="31" t="s">
        <v>21</v>
      </c>
      <c r="V5" s="28" t="s">
        <v>22</v>
      </c>
    </row>
    <row r="6" ht="14.25" customHeight="1">
      <c r="B6" s="32"/>
      <c r="C6" s="33" t="s">
        <v>284</v>
      </c>
      <c r="D6" s="34"/>
      <c r="E6" s="35">
        <v>49.0</v>
      </c>
      <c r="F6" s="36"/>
      <c r="G6" s="33" t="s">
        <v>285</v>
      </c>
      <c r="H6" s="34"/>
      <c r="I6" s="35">
        <v>53.0</v>
      </c>
      <c r="J6" s="37"/>
      <c r="K6" s="33" t="s">
        <v>286</v>
      </c>
      <c r="L6" s="34"/>
      <c r="M6" s="35">
        <v>21.0</v>
      </c>
      <c r="N6" s="38"/>
      <c r="O6" s="33" t="s">
        <v>287</v>
      </c>
      <c r="P6" s="34"/>
      <c r="Q6" s="35">
        <v>41.0</v>
      </c>
      <c r="R6" s="38"/>
      <c r="S6" s="33" t="s">
        <v>288</v>
      </c>
      <c r="T6" s="34"/>
      <c r="U6" s="35">
        <v>32.0</v>
      </c>
      <c r="V6" s="38"/>
    </row>
    <row r="7" ht="14.25" customHeight="1">
      <c r="B7" s="39" t="s">
        <v>28</v>
      </c>
      <c r="C7" s="33" t="s">
        <v>289</v>
      </c>
      <c r="D7" s="34"/>
      <c r="E7" s="41">
        <v>1.0</v>
      </c>
      <c r="F7" s="36"/>
      <c r="G7" s="33" t="s">
        <v>290</v>
      </c>
      <c r="H7" s="34"/>
      <c r="I7" s="41">
        <v>1.0</v>
      </c>
      <c r="J7" s="37"/>
      <c r="K7" s="33" t="s">
        <v>291</v>
      </c>
      <c r="L7" s="34"/>
      <c r="M7" s="41">
        <v>8.0</v>
      </c>
      <c r="N7" s="38"/>
      <c r="O7" s="33" t="s">
        <v>292</v>
      </c>
      <c r="P7" s="34"/>
      <c r="Q7" s="41">
        <v>10.0</v>
      </c>
      <c r="R7" s="38"/>
      <c r="S7" s="33" t="s">
        <v>293</v>
      </c>
      <c r="T7" s="34"/>
      <c r="U7" s="41">
        <v>7.0</v>
      </c>
      <c r="V7" s="38"/>
    </row>
    <row r="8" ht="14.25" customHeight="1">
      <c r="B8" s="42"/>
      <c r="C8" s="119" t="s">
        <v>294</v>
      </c>
      <c r="D8" s="120"/>
      <c r="E8" s="45">
        <v>1.0</v>
      </c>
      <c r="F8" s="46">
        <f>SUM(E6:E8)</f>
        <v>51</v>
      </c>
      <c r="G8" s="119" t="s">
        <v>295</v>
      </c>
      <c r="H8" s="120"/>
      <c r="I8" s="45">
        <v>1.0</v>
      </c>
      <c r="J8" s="47">
        <f>SUM(I6:I8)</f>
        <v>55</v>
      </c>
      <c r="K8" s="119" t="s">
        <v>296</v>
      </c>
      <c r="L8" s="120"/>
      <c r="M8" s="45">
        <v>2.0</v>
      </c>
      <c r="N8" s="48">
        <f>SUM(M6:M8)</f>
        <v>31</v>
      </c>
      <c r="O8" s="119" t="s">
        <v>297</v>
      </c>
      <c r="P8" s="120"/>
      <c r="Q8" s="45">
        <v>1.0</v>
      </c>
      <c r="R8" s="48">
        <f>SUM(Q6:Q8)</f>
        <v>52</v>
      </c>
      <c r="S8" s="119" t="s">
        <v>298</v>
      </c>
      <c r="T8" s="120"/>
      <c r="U8" s="45">
        <v>1.0</v>
      </c>
      <c r="V8" s="48">
        <f>SUM(U6:U8)</f>
        <v>40</v>
      </c>
    </row>
    <row r="9" ht="14.25" customHeight="1">
      <c r="B9" s="49"/>
      <c r="C9" s="50" t="s">
        <v>299</v>
      </c>
      <c r="D9" s="34"/>
      <c r="E9" s="51">
        <v>30.0</v>
      </c>
      <c r="F9" s="52"/>
      <c r="G9" s="50" t="s">
        <v>300</v>
      </c>
      <c r="H9" s="34"/>
      <c r="I9" s="51">
        <v>25.0</v>
      </c>
      <c r="J9" s="53"/>
      <c r="K9" s="50" t="s">
        <v>301</v>
      </c>
      <c r="L9" s="34"/>
      <c r="M9" s="51">
        <v>21.0</v>
      </c>
      <c r="N9" s="54"/>
      <c r="O9" s="50" t="s">
        <v>302</v>
      </c>
      <c r="P9" s="34"/>
      <c r="Q9" s="51">
        <v>12.0</v>
      </c>
      <c r="R9" s="54"/>
      <c r="S9" s="50" t="s">
        <v>303</v>
      </c>
      <c r="T9" s="34"/>
      <c r="U9" s="51">
        <v>27.0</v>
      </c>
      <c r="V9" s="54"/>
    </row>
    <row r="10" ht="14.25" customHeight="1">
      <c r="B10" s="55"/>
      <c r="C10" s="56" t="s">
        <v>304</v>
      </c>
      <c r="D10" s="3"/>
      <c r="E10" s="57">
        <v>30.0</v>
      </c>
      <c r="F10" s="52"/>
      <c r="G10" s="56" t="s">
        <v>305</v>
      </c>
      <c r="H10" s="3"/>
      <c r="I10" s="57">
        <v>23.0</v>
      </c>
      <c r="J10" s="53"/>
      <c r="K10" s="56" t="s">
        <v>306</v>
      </c>
      <c r="L10" s="3"/>
      <c r="M10" s="57">
        <v>10.0</v>
      </c>
      <c r="N10" s="54"/>
      <c r="O10" s="56" t="s">
        <v>307</v>
      </c>
      <c r="P10" s="3"/>
      <c r="Q10" s="57">
        <v>27.0</v>
      </c>
      <c r="R10" s="54"/>
      <c r="S10" s="56" t="s">
        <v>308</v>
      </c>
      <c r="T10" s="3"/>
      <c r="U10" s="57">
        <v>20.0</v>
      </c>
      <c r="V10" s="54"/>
    </row>
    <row r="11" ht="14.25" customHeight="1">
      <c r="B11" s="55"/>
      <c r="C11" s="56" t="s">
        <v>309</v>
      </c>
      <c r="D11" s="3"/>
      <c r="E11" s="57">
        <v>30.0</v>
      </c>
      <c r="F11" s="52"/>
      <c r="G11" s="56" t="s">
        <v>310</v>
      </c>
      <c r="H11" s="3"/>
      <c r="I11" s="57">
        <v>35.0</v>
      </c>
      <c r="J11" s="53"/>
      <c r="K11" s="56" t="s">
        <v>311</v>
      </c>
      <c r="L11" s="3"/>
      <c r="M11" s="57">
        <v>17.0</v>
      </c>
      <c r="N11" s="54"/>
      <c r="O11" s="56" t="s">
        <v>312</v>
      </c>
      <c r="P11" s="3"/>
      <c r="Q11" s="57">
        <v>1.0</v>
      </c>
      <c r="R11" s="54"/>
      <c r="S11" s="56" t="s">
        <v>313</v>
      </c>
      <c r="T11" s="3"/>
      <c r="U11" s="57">
        <v>20.0</v>
      </c>
      <c r="V11" s="54"/>
    </row>
    <row r="12" ht="14.25" customHeight="1">
      <c r="B12" s="58" t="s">
        <v>54</v>
      </c>
      <c r="C12" s="56" t="s">
        <v>314</v>
      </c>
      <c r="D12" s="3"/>
      <c r="E12" s="57">
        <v>30.0</v>
      </c>
      <c r="F12" s="52"/>
      <c r="G12" s="56" t="s">
        <v>315</v>
      </c>
      <c r="H12" s="3"/>
      <c r="I12" s="57">
        <v>13.0</v>
      </c>
      <c r="J12" s="53"/>
      <c r="K12" s="56" t="s">
        <v>316</v>
      </c>
      <c r="L12" s="3"/>
      <c r="M12" s="57">
        <v>21.0</v>
      </c>
      <c r="N12" s="54"/>
      <c r="O12" s="56" t="s">
        <v>317</v>
      </c>
      <c r="P12" s="3"/>
      <c r="Q12" s="57">
        <v>1.0</v>
      </c>
      <c r="R12" s="54"/>
      <c r="S12" s="56" t="s">
        <v>318</v>
      </c>
      <c r="T12" s="3"/>
      <c r="U12" s="57">
        <v>6.0</v>
      </c>
      <c r="V12" s="54"/>
    </row>
    <row r="13" ht="14.25" customHeight="1">
      <c r="B13" s="55"/>
      <c r="C13" s="56" t="s">
        <v>319</v>
      </c>
      <c r="D13" s="3"/>
      <c r="E13" s="57">
        <v>1.0</v>
      </c>
      <c r="F13" s="52"/>
      <c r="G13" s="56" t="s">
        <v>320</v>
      </c>
      <c r="H13" s="3"/>
      <c r="I13" s="57">
        <v>1.0</v>
      </c>
      <c r="J13" s="53"/>
      <c r="K13" s="56" t="s">
        <v>321</v>
      </c>
      <c r="L13" s="3"/>
      <c r="M13" s="57">
        <v>4.0</v>
      </c>
      <c r="N13" s="54"/>
      <c r="O13" s="56" t="s">
        <v>322</v>
      </c>
      <c r="P13" s="3"/>
      <c r="Q13" s="57">
        <v>8.0</v>
      </c>
      <c r="R13" s="54"/>
      <c r="S13" s="56" t="s">
        <v>323</v>
      </c>
      <c r="T13" s="3"/>
      <c r="U13" s="57">
        <v>6.0</v>
      </c>
      <c r="V13" s="54"/>
    </row>
    <row r="14" ht="14.25" customHeight="1">
      <c r="B14" s="55"/>
      <c r="C14" s="56" t="s">
        <v>324</v>
      </c>
      <c r="D14" s="3"/>
      <c r="E14" s="57">
        <v>8.0</v>
      </c>
      <c r="F14" s="52"/>
      <c r="G14" s="56" t="s">
        <v>325</v>
      </c>
      <c r="H14" s="3"/>
      <c r="I14" s="57">
        <v>1.0</v>
      </c>
      <c r="J14" s="53"/>
      <c r="K14" s="56" t="s">
        <v>326</v>
      </c>
      <c r="L14" s="3"/>
      <c r="M14" s="57">
        <v>7.0</v>
      </c>
      <c r="N14" s="54"/>
      <c r="O14" s="56" t="s">
        <v>327</v>
      </c>
      <c r="P14" s="3"/>
      <c r="Q14" s="57">
        <v>1.0</v>
      </c>
      <c r="R14" s="54"/>
      <c r="S14" s="56" t="s">
        <v>328</v>
      </c>
      <c r="T14" s="3"/>
      <c r="U14" s="57">
        <v>3.0</v>
      </c>
      <c r="V14" s="54"/>
    </row>
    <row r="15" ht="14.25" customHeight="1">
      <c r="B15" s="55"/>
      <c r="C15" s="56" t="s">
        <v>329</v>
      </c>
      <c r="D15" s="3"/>
      <c r="E15" s="57">
        <v>1.0</v>
      </c>
      <c r="F15" s="52"/>
      <c r="G15" s="56" t="s">
        <v>330</v>
      </c>
      <c r="H15" s="3"/>
      <c r="I15" s="57">
        <v>7.0</v>
      </c>
      <c r="J15" s="53"/>
      <c r="K15" s="56" t="s">
        <v>331</v>
      </c>
      <c r="L15" s="3"/>
      <c r="M15" s="57">
        <v>3.0</v>
      </c>
      <c r="N15" s="54"/>
      <c r="O15" s="56" t="s">
        <v>332</v>
      </c>
      <c r="P15" s="3"/>
      <c r="Q15" s="57">
        <v>3.0</v>
      </c>
      <c r="R15" s="54"/>
      <c r="S15" s="56" t="s">
        <v>333</v>
      </c>
      <c r="T15" s="3"/>
      <c r="U15" s="57">
        <v>1.0</v>
      </c>
      <c r="V15" s="54"/>
    </row>
    <row r="16" ht="14.25" customHeight="1">
      <c r="B16" s="59"/>
      <c r="C16" s="60" t="s">
        <v>334</v>
      </c>
      <c r="D16" s="61"/>
      <c r="E16" s="62">
        <v>1.0</v>
      </c>
      <c r="F16" s="63">
        <f>SUM(E9:E16)</f>
        <v>131</v>
      </c>
      <c r="G16" s="60" t="s">
        <v>335</v>
      </c>
      <c r="H16" s="61"/>
      <c r="I16" s="62">
        <v>7.0</v>
      </c>
      <c r="J16" s="64">
        <f>SUM(I9:I16)</f>
        <v>112</v>
      </c>
      <c r="K16" s="60" t="s">
        <v>336</v>
      </c>
      <c r="L16" s="61"/>
      <c r="M16" s="62">
        <v>1.0</v>
      </c>
      <c r="N16" s="65">
        <f>SUM(M9:M16)</f>
        <v>84</v>
      </c>
      <c r="O16" s="60" t="s">
        <v>337</v>
      </c>
      <c r="P16" s="61"/>
      <c r="Q16" s="62">
        <v>1.0</v>
      </c>
      <c r="R16" s="65">
        <f>SUM(Q9:Q16)</f>
        <v>54</v>
      </c>
      <c r="S16" s="60" t="s">
        <v>338</v>
      </c>
      <c r="T16" s="61"/>
      <c r="U16" s="62">
        <v>1.0</v>
      </c>
      <c r="V16" s="65">
        <f>SUM(U9:U16)</f>
        <v>84</v>
      </c>
    </row>
    <row r="17" ht="14.25" customHeight="1">
      <c r="B17" s="66"/>
      <c r="C17" s="67" t="s">
        <v>339</v>
      </c>
      <c r="D17" s="68"/>
      <c r="E17" s="69">
        <v>66.0</v>
      </c>
      <c r="F17" s="70"/>
      <c r="G17" s="67" t="s">
        <v>340</v>
      </c>
      <c r="H17" s="68"/>
      <c r="I17" s="69">
        <v>61.0</v>
      </c>
      <c r="J17" s="71"/>
      <c r="K17" s="67" t="s">
        <v>341</v>
      </c>
      <c r="L17" s="68"/>
      <c r="M17" s="69">
        <v>70.0</v>
      </c>
      <c r="N17" s="72"/>
      <c r="O17" s="67" t="s">
        <v>342</v>
      </c>
      <c r="P17" s="68"/>
      <c r="Q17" s="69">
        <v>37.0</v>
      </c>
      <c r="R17" s="72"/>
      <c r="S17" s="67" t="s">
        <v>343</v>
      </c>
      <c r="T17" s="68"/>
      <c r="U17" s="69">
        <v>63.0</v>
      </c>
      <c r="V17" s="72"/>
    </row>
    <row r="18" ht="14.25" customHeight="1">
      <c r="B18" s="73"/>
      <c r="C18" s="74" t="s">
        <v>344</v>
      </c>
      <c r="D18" s="3"/>
      <c r="E18" s="75">
        <v>4.0</v>
      </c>
      <c r="F18" s="70"/>
      <c r="G18" s="74" t="s">
        <v>345</v>
      </c>
      <c r="H18" s="3"/>
      <c r="I18" s="75">
        <v>43.0</v>
      </c>
      <c r="J18" s="71"/>
      <c r="K18" s="74" t="s">
        <v>346</v>
      </c>
      <c r="L18" s="3"/>
      <c r="M18" s="75">
        <v>83.0</v>
      </c>
      <c r="N18" s="72"/>
      <c r="O18" s="74" t="s">
        <v>347</v>
      </c>
      <c r="P18" s="3"/>
      <c r="Q18" s="75">
        <v>60.0</v>
      </c>
      <c r="R18" s="72"/>
      <c r="S18" s="74" t="s">
        <v>348</v>
      </c>
      <c r="T18" s="3"/>
      <c r="U18" s="75">
        <v>64.0</v>
      </c>
      <c r="V18" s="72"/>
    </row>
    <row r="19" ht="14.25" customHeight="1">
      <c r="B19" s="73"/>
      <c r="C19" s="74" t="s">
        <v>349</v>
      </c>
      <c r="D19" s="3"/>
      <c r="E19" s="75">
        <v>14.0</v>
      </c>
      <c r="F19" s="70"/>
      <c r="G19" s="74" t="s">
        <v>350</v>
      </c>
      <c r="H19" s="3"/>
      <c r="I19" s="75">
        <v>10.0</v>
      </c>
      <c r="J19" s="71"/>
      <c r="K19" s="74" t="s">
        <v>351</v>
      </c>
      <c r="L19" s="3"/>
      <c r="M19" s="75">
        <v>51.0</v>
      </c>
      <c r="N19" s="72"/>
      <c r="O19" s="74" t="s">
        <v>352</v>
      </c>
      <c r="P19" s="3"/>
      <c r="Q19" s="75">
        <v>46.0</v>
      </c>
      <c r="R19" s="72"/>
      <c r="S19" s="74" t="s">
        <v>353</v>
      </c>
      <c r="T19" s="3"/>
      <c r="U19" s="75">
        <v>25.0</v>
      </c>
      <c r="V19" s="72"/>
    </row>
    <row r="20" ht="14.25" customHeight="1">
      <c r="B20" s="76" t="s">
        <v>95</v>
      </c>
      <c r="C20" s="74" t="s">
        <v>354</v>
      </c>
      <c r="D20" s="3"/>
      <c r="E20" s="75">
        <v>2.0</v>
      </c>
      <c r="F20" s="70"/>
      <c r="G20" s="74" t="s">
        <v>355</v>
      </c>
      <c r="H20" s="3"/>
      <c r="I20" s="75">
        <v>15.0</v>
      </c>
      <c r="J20" s="71"/>
      <c r="K20" s="74" t="s">
        <v>356</v>
      </c>
      <c r="L20" s="3"/>
      <c r="M20" s="75">
        <v>10.0</v>
      </c>
      <c r="N20" s="72"/>
      <c r="O20" s="74" t="s">
        <v>357</v>
      </c>
      <c r="P20" s="3"/>
      <c r="Q20" s="75">
        <v>19.0</v>
      </c>
      <c r="R20" s="72"/>
      <c r="S20" s="74" t="s">
        <v>358</v>
      </c>
      <c r="T20" s="3"/>
      <c r="U20" s="75">
        <v>1.0</v>
      </c>
      <c r="V20" s="72"/>
    </row>
    <row r="21" ht="14.25" customHeight="1">
      <c r="B21" s="73"/>
      <c r="C21" s="74" t="s">
        <v>359</v>
      </c>
      <c r="D21" s="3"/>
      <c r="E21" s="75">
        <v>6.0</v>
      </c>
      <c r="F21" s="70"/>
      <c r="G21" s="74" t="s">
        <v>360</v>
      </c>
      <c r="H21" s="3"/>
      <c r="I21" s="75">
        <v>1.0</v>
      </c>
      <c r="J21" s="71"/>
      <c r="K21" s="74" t="s">
        <v>361</v>
      </c>
      <c r="L21" s="3"/>
      <c r="M21" s="75">
        <v>1.0</v>
      </c>
      <c r="N21" s="72"/>
      <c r="O21" s="74" t="s">
        <v>362</v>
      </c>
      <c r="P21" s="3"/>
      <c r="Q21" s="75">
        <v>16.0</v>
      </c>
      <c r="R21" s="72"/>
      <c r="S21" s="74" t="s">
        <v>363</v>
      </c>
      <c r="T21" s="3"/>
      <c r="U21" s="75">
        <v>12.0</v>
      </c>
      <c r="V21" s="72"/>
    </row>
    <row r="22" ht="14.25" customHeight="1">
      <c r="B22" s="73"/>
      <c r="C22" s="74" t="s">
        <v>364</v>
      </c>
      <c r="D22" s="3"/>
      <c r="E22" s="75">
        <v>1.0</v>
      </c>
      <c r="F22" s="70"/>
      <c r="G22" s="74" t="s">
        <v>365</v>
      </c>
      <c r="H22" s="3"/>
      <c r="I22" s="75">
        <v>1.0</v>
      </c>
      <c r="J22" s="71"/>
      <c r="K22" s="74" t="s">
        <v>366</v>
      </c>
      <c r="L22" s="3"/>
      <c r="M22" s="75">
        <v>2.0</v>
      </c>
      <c r="N22" s="72"/>
      <c r="O22" s="74" t="s">
        <v>367</v>
      </c>
      <c r="P22" s="3"/>
      <c r="Q22" s="75">
        <v>1.0</v>
      </c>
      <c r="R22" s="72"/>
      <c r="S22" s="74" t="s">
        <v>368</v>
      </c>
      <c r="T22" s="3"/>
      <c r="U22" s="75">
        <v>20.0</v>
      </c>
      <c r="V22" s="72"/>
    </row>
    <row r="23" ht="14.25" customHeight="1">
      <c r="B23" s="73"/>
      <c r="C23" s="74" t="s">
        <v>369</v>
      </c>
      <c r="D23" s="3"/>
      <c r="E23" s="75">
        <v>1.0</v>
      </c>
      <c r="F23" s="70"/>
      <c r="G23" s="74" t="s">
        <v>370</v>
      </c>
      <c r="H23" s="3"/>
      <c r="I23" s="75">
        <v>1.0</v>
      </c>
      <c r="J23" s="71"/>
      <c r="K23" s="74" t="s">
        <v>371</v>
      </c>
      <c r="L23" s="3"/>
      <c r="M23" s="75">
        <v>1.0</v>
      </c>
      <c r="N23" s="72"/>
      <c r="O23" s="74" t="s">
        <v>372</v>
      </c>
      <c r="P23" s="3"/>
      <c r="Q23" s="75">
        <v>1.0</v>
      </c>
      <c r="R23" s="72"/>
      <c r="S23" s="74" t="s">
        <v>373</v>
      </c>
      <c r="T23" s="3"/>
      <c r="U23" s="75">
        <v>5.0</v>
      </c>
      <c r="V23" s="72"/>
    </row>
    <row r="24" ht="14.25" customHeight="1">
      <c r="B24" s="77"/>
      <c r="C24" s="78" t="s">
        <v>374</v>
      </c>
      <c r="D24" s="61"/>
      <c r="E24" s="79">
        <v>1.0</v>
      </c>
      <c r="F24" s="80">
        <f>SUM(E17:E24)</f>
        <v>95</v>
      </c>
      <c r="G24" s="78" t="s">
        <v>375</v>
      </c>
      <c r="H24" s="61"/>
      <c r="I24" s="79">
        <v>1.0</v>
      </c>
      <c r="J24" s="81">
        <f>SUM(I17:I24)</f>
        <v>133</v>
      </c>
      <c r="K24" s="78" t="s">
        <v>376</v>
      </c>
      <c r="L24" s="61"/>
      <c r="M24" s="79">
        <v>8.0</v>
      </c>
      <c r="N24" s="82">
        <f>SUM(M17:M24)</f>
        <v>226</v>
      </c>
      <c r="O24" s="78" t="s">
        <v>377</v>
      </c>
      <c r="P24" s="61"/>
      <c r="Q24" s="79">
        <v>1.0</v>
      </c>
      <c r="R24" s="82">
        <f>SUM(Q17:Q24)</f>
        <v>181</v>
      </c>
      <c r="S24" s="78" t="s">
        <v>378</v>
      </c>
      <c r="T24" s="61"/>
      <c r="U24" s="79">
        <v>2.0</v>
      </c>
      <c r="V24" s="82">
        <f>SUM(U17:U24)</f>
        <v>192</v>
      </c>
    </row>
    <row r="25" ht="14.25" customHeight="1">
      <c r="B25" s="83"/>
      <c r="C25" s="84" t="s">
        <v>379</v>
      </c>
      <c r="D25" s="68"/>
      <c r="E25" s="85">
        <v>87.0</v>
      </c>
      <c r="F25" s="86"/>
      <c r="G25" s="84" t="s">
        <v>380</v>
      </c>
      <c r="H25" s="68"/>
      <c r="I25" s="85">
        <v>110.0</v>
      </c>
      <c r="J25" s="87"/>
      <c r="K25" s="84" t="s">
        <v>381</v>
      </c>
      <c r="L25" s="68"/>
      <c r="M25" s="85">
        <v>96.0</v>
      </c>
      <c r="N25" s="88"/>
      <c r="O25" s="84" t="s">
        <v>382</v>
      </c>
      <c r="P25" s="68"/>
      <c r="Q25" s="85">
        <v>94.0</v>
      </c>
      <c r="R25" s="88"/>
      <c r="S25" s="84" t="s">
        <v>383</v>
      </c>
      <c r="T25" s="68"/>
      <c r="U25" s="85">
        <v>120.0</v>
      </c>
      <c r="V25" s="88"/>
    </row>
    <row r="26" ht="14.25" customHeight="1">
      <c r="B26" s="89"/>
      <c r="C26" s="90" t="s">
        <v>384</v>
      </c>
      <c r="D26" s="3"/>
      <c r="E26" s="91">
        <v>41.0</v>
      </c>
      <c r="F26" s="86"/>
      <c r="G26" s="90" t="s">
        <v>385</v>
      </c>
      <c r="H26" s="3"/>
      <c r="I26" s="91">
        <v>66.0</v>
      </c>
      <c r="J26" s="87"/>
      <c r="K26" s="90" t="s">
        <v>386</v>
      </c>
      <c r="L26" s="3"/>
      <c r="M26" s="91">
        <v>42.0</v>
      </c>
      <c r="N26" s="88"/>
      <c r="O26" s="90" t="s">
        <v>387</v>
      </c>
      <c r="P26" s="3"/>
      <c r="Q26" s="91">
        <v>71.0</v>
      </c>
      <c r="R26" s="88"/>
      <c r="S26" s="90" t="s">
        <v>388</v>
      </c>
      <c r="T26" s="3"/>
      <c r="U26" s="91">
        <v>45.0</v>
      </c>
      <c r="V26" s="88"/>
    </row>
    <row r="27" ht="14.25" customHeight="1">
      <c r="B27" s="92" t="s">
        <v>131</v>
      </c>
      <c r="C27" s="90" t="s">
        <v>389</v>
      </c>
      <c r="D27" s="3"/>
      <c r="E27" s="91">
        <v>75.0</v>
      </c>
      <c r="F27" s="86"/>
      <c r="G27" s="90" t="s">
        <v>390</v>
      </c>
      <c r="H27" s="3"/>
      <c r="I27" s="91">
        <v>8.0</v>
      </c>
      <c r="J27" s="87"/>
      <c r="K27" s="90" t="s">
        <v>391</v>
      </c>
      <c r="L27" s="3"/>
      <c r="M27" s="91">
        <v>5.0</v>
      </c>
      <c r="N27" s="88"/>
      <c r="O27" s="90" t="s">
        <v>392</v>
      </c>
      <c r="P27" s="3"/>
      <c r="Q27" s="91">
        <v>3.0</v>
      </c>
      <c r="R27" s="88"/>
      <c r="S27" s="90" t="s">
        <v>393</v>
      </c>
      <c r="T27" s="3"/>
      <c r="U27" s="91">
        <v>5.0</v>
      </c>
      <c r="V27" s="88"/>
    </row>
    <row r="28" ht="14.25" customHeight="1">
      <c r="B28" s="89"/>
      <c r="C28" s="90" t="s">
        <v>394</v>
      </c>
      <c r="D28" s="3"/>
      <c r="E28" s="91">
        <v>15.0</v>
      </c>
      <c r="F28" s="86"/>
      <c r="G28" s="90" t="s">
        <v>395</v>
      </c>
      <c r="H28" s="3"/>
      <c r="I28" s="91">
        <v>13.0</v>
      </c>
      <c r="J28" s="87"/>
      <c r="K28" s="90" t="s">
        <v>396</v>
      </c>
      <c r="L28" s="3"/>
      <c r="M28" s="91">
        <v>6.0</v>
      </c>
      <c r="N28" s="88"/>
      <c r="O28" s="90" t="s">
        <v>397</v>
      </c>
      <c r="P28" s="3"/>
      <c r="Q28" s="91">
        <v>10.0</v>
      </c>
      <c r="R28" s="88"/>
      <c r="S28" s="90" t="s">
        <v>398</v>
      </c>
      <c r="T28" s="3"/>
      <c r="U28" s="91">
        <v>1.0</v>
      </c>
      <c r="V28" s="88"/>
    </row>
    <row r="29" ht="14.25" customHeight="1">
      <c r="B29" s="89"/>
      <c r="C29" s="90" t="s">
        <v>399</v>
      </c>
      <c r="D29" s="3"/>
      <c r="E29" s="91">
        <v>2.0</v>
      </c>
      <c r="F29" s="86"/>
      <c r="G29" s="90" t="s">
        <v>400</v>
      </c>
      <c r="H29" s="3"/>
      <c r="I29" s="91">
        <v>1.0</v>
      </c>
      <c r="J29" s="87"/>
      <c r="K29" s="90" t="s">
        <v>401</v>
      </c>
      <c r="L29" s="3"/>
      <c r="M29" s="91">
        <v>1.0</v>
      </c>
      <c r="N29" s="88"/>
      <c r="O29" s="90" t="s">
        <v>402</v>
      </c>
      <c r="P29" s="3"/>
      <c r="Q29" s="91">
        <v>13.0</v>
      </c>
      <c r="R29" s="88"/>
      <c r="S29" s="90" t="s">
        <v>403</v>
      </c>
      <c r="T29" s="3"/>
      <c r="U29" s="91">
        <v>3.0</v>
      </c>
      <c r="V29" s="88"/>
    </row>
    <row r="30" ht="14.25" customHeight="1">
      <c r="B30" s="93"/>
      <c r="C30" s="94" t="s">
        <v>404</v>
      </c>
      <c r="D30" s="61"/>
      <c r="E30" s="95">
        <v>3.0</v>
      </c>
      <c r="F30" s="96">
        <f>SUM(E25:E30)</f>
        <v>223</v>
      </c>
      <c r="G30" s="94" t="s">
        <v>405</v>
      </c>
      <c r="H30" s="61"/>
      <c r="I30" s="95">
        <v>1.0</v>
      </c>
      <c r="J30" s="97">
        <f>SUM(I25:I30)</f>
        <v>199</v>
      </c>
      <c r="K30" s="94" t="s">
        <v>406</v>
      </c>
      <c r="L30" s="61"/>
      <c r="M30" s="95">
        <v>6.0</v>
      </c>
      <c r="N30" s="98">
        <f>SUM(M25:M30)</f>
        <v>156</v>
      </c>
      <c r="O30" s="94" t="s">
        <v>407</v>
      </c>
      <c r="P30" s="61"/>
      <c r="Q30" s="95">
        <v>3.0</v>
      </c>
      <c r="R30" s="98">
        <f>SUM(Q25:Q30)</f>
        <v>194</v>
      </c>
      <c r="S30" s="94" t="s">
        <v>408</v>
      </c>
      <c r="T30" s="61"/>
      <c r="U30" s="95">
        <v>1.0</v>
      </c>
      <c r="V30" s="98">
        <f>SUM(U25:U30)</f>
        <v>175</v>
      </c>
    </row>
    <row r="31" ht="14.25" customHeight="1">
      <c r="C31" s="99" t="s">
        <v>152</v>
      </c>
      <c r="D31" s="100"/>
      <c r="E31" s="28">
        <f>SUM(E6:E30)</f>
        <v>500</v>
      </c>
      <c r="F31" s="101"/>
      <c r="G31" s="99" t="s">
        <v>152</v>
      </c>
      <c r="H31" s="100"/>
      <c r="I31" s="28">
        <f>SUM(I6:I30)</f>
        <v>499</v>
      </c>
      <c r="J31" s="101"/>
      <c r="K31" s="23" t="s">
        <v>152</v>
      </c>
      <c r="L31" s="22"/>
      <c r="M31" s="102">
        <f>SUM(M6:M30)</f>
        <v>497</v>
      </c>
      <c r="N31" s="101"/>
      <c r="O31" s="23" t="s">
        <v>152</v>
      </c>
      <c r="P31" s="22"/>
      <c r="Q31" s="102">
        <f>SUM(Q6:Q30)</f>
        <v>481</v>
      </c>
      <c r="R31" s="101"/>
      <c r="S31" s="23" t="s">
        <v>152</v>
      </c>
      <c r="T31" s="22"/>
      <c r="U31" s="102">
        <f>SUM(U6:U30)</f>
        <v>491</v>
      </c>
      <c r="V31" s="101"/>
    </row>
    <row r="32" ht="14.25" customHeight="1">
      <c r="C32" s="23" t="s">
        <v>153</v>
      </c>
      <c r="D32" s="22"/>
      <c r="E32" s="121">
        <f>500-E31</f>
        <v>0</v>
      </c>
      <c r="F32" s="103"/>
      <c r="G32" s="23" t="s">
        <v>153</v>
      </c>
      <c r="H32" s="22"/>
      <c r="I32" s="102">
        <f>500-I31</f>
        <v>1</v>
      </c>
      <c r="J32" s="103"/>
      <c r="K32" s="23" t="s">
        <v>153</v>
      </c>
      <c r="L32" s="22"/>
      <c r="M32" s="102">
        <f>500-M31</f>
        <v>3</v>
      </c>
      <c r="N32" s="103"/>
      <c r="O32" s="23" t="s">
        <v>153</v>
      </c>
      <c r="P32" s="22"/>
      <c r="Q32" s="102">
        <f>500-Q31</f>
        <v>19</v>
      </c>
      <c r="R32" s="103"/>
      <c r="S32" s="23" t="s">
        <v>153</v>
      </c>
      <c r="T32" s="22"/>
      <c r="U32" s="102">
        <f>500-U31</f>
        <v>9</v>
      </c>
      <c r="V32" s="103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C39" s="23" t="s">
        <v>154</v>
      </c>
      <c r="D39" s="21"/>
      <c r="E39" s="21"/>
      <c r="F39" s="22"/>
      <c r="G39" s="23" t="s">
        <v>155</v>
      </c>
      <c r="H39" s="21"/>
      <c r="I39" s="21"/>
      <c r="J39" s="22"/>
      <c r="K39" s="23" t="s">
        <v>10</v>
      </c>
      <c r="L39" s="21"/>
      <c r="M39" s="21"/>
      <c r="N39" s="22"/>
      <c r="O39" s="23" t="s">
        <v>156</v>
      </c>
      <c r="P39" s="21"/>
      <c r="Q39" s="21"/>
      <c r="R39" s="22"/>
      <c r="S39" s="23" t="s">
        <v>157</v>
      </c>
      <c r="T39" s="21"/>
      <c r="U39" s="21"/>
      <c r="V39" s="22"/>
    </row>
    <row r="40" ht="14.25" customHeight="1">
      <c r="C40" s="29" t="s">
        <v>20</v>
      </c>
      <c r="D40" s="122"/>
      <c r="E40" s="102" t="s">
        <v>21</v>
      </c>
      <c r="F40" s="102" t="s">
        <v>22</v>
      </c>
      <c r="G40" s="29" t="s">
        <v>20</v>
      </c>
      <c r="H40" s="30"/>
      <c r="I40" s="31" t="s">
        <v>21</v>
      </c>
      <c r="J40" s="28" t="s">
        <v>22</v>
      </c>
      <c r="K40" s="29" t="s">
        <v>20</v>
      </c>
      <c r="L40" s="30"/>
      <c r="M40" s="31" t="s">
        <v>21</v>
      </c>
      <c r="N40" s="28" t="s">
        <v>22</v>
      </c>
      <c r="O40" s="29" t="s">
        <v>20</v>
      </c>
      <c r="P40" s="30"/>
      <c r="Q40" s="31" t="s">
        <v>21</v>
      </c>
      <c r="R40" s="28" t="s">
        <v>22</v>
      </c>
      <c r="S40" s="29" t="s">
        <v>20</v>
      </c>
      <c r="T40" s="30"/>
      <c r="U40" s="31" t="s">
        <v>21</v>
      </c>
      <c r="V40" s="28" t="s">
        <v>22</v>
      </c>
    </row>
    <row r="41" ht="14.25" customHeight="1">
      <c r="B41" s="104"/>
      <c r="C41" s="33" t="s">
        <v>409</v>
      </c>
      <c r="D41" s="34"/>
      <c r="E41" s="123">
        <v>34.0</v>
      </c>
      <c r="F41" s="124"/>
      <c r="G41" s="33" t="s">
        <v>410</v>
      </c>
      <c r="H41" s="34"/>
      <c r="I41" s="35">
        <v>9.0</v>
      </c>
      <c r="J41" s="38"/>
      <c r="K41" s="33" t="s">
        <v>411</v>
      </c>
      <c r="L41" s="34"/>
      <c r="M41" s="35">
        <v>47.0</v>
      </c>
      <c r="N41" s="38"/>
      <c r="O41" s="33" t="s">
        <v>412</v>
      </c>
      <c r="P41" s="34"/>
      <c r="Q41" s="35">
        <v>6.0</v>
      </c>
      <c r="R41" s="38"/>
      <c r="S41" s="33" t="s">
        <v>413</v>
      </c>
      <c r="T41" s="34"/>
      <c r="U41" s="35">
        <v>40.0</v>
      </c>
      <c r="V41" s="38"/>
    </row>
    <row r="42" ht="14.25" customHeight="1">
      <c r="B42" s="105" t="s">
        <v>28</v>
      </c>
      <c r="C42" s="33" t="s">
        <v>414</v>
      </c>
      <c r="D42" s="34"/>
      <c r="E42" s="41">
        <v>1.0</v>
      </c>
      <c r="F42" s="38"/>
      <c r="G42" s="33" t="s">
        <v>415</v>
      </c>
      <c r="H42" s="34"/>
      <c r="I42" s="41">
        <v>17.0</v>
      </c>
      <c r="J42" s="38"/>
      <c r="K42" s="33" t="s">
        <v>416</v>
      </c>
      <c r="L42" s="34"/>
      <c r="M42" s="41">
        <v>4.0</v>
      </c>
      <c r="N42" s="38"/>
      <c r="O42" s="33" t="s">
        <v>417</v>
      </c>
      <c r="P42" s="34"/>
      <c r="Q42" s="41">
        <v>12.0</v>
      </c>
      <c r="R42" s="38"/>
      <c r="S42" s="33" t="s">
        <v>418</v>
      </c>
      <c r="T42" s="34"/>
      <c r="U42" s="41">
        <v>1.0</v>
      </c>
      <c r="V42" s="38"/>
    </row>
    <row r="43" ht="14.25" customHeight="1">
      <c r="B43" s="106"/>
      <c r="C43" s="119" t="s">
        <v>419</v>
      </c>
      <c r="D43" s="120"/>
      <c r="E43" s="45">
        <v>2.0</v>
      </c>
      <c r="F43" s="48">
        <f>SUM(E41:E43)</f>
        <v>37</v>
      </c>
      <c r="G43" s="119" t="s">
        <v>420</v>
      </c>
      <c r="H43" s="120"/>
      <c r="I43" s="45">
        <v>3.0</v>
      </c>
      <c r="J43" s="48">
        <f>SUM(I41:I43)</f>
        <v>29</v>
      </c>
      <c r="K43" s="119" t="s">
        <v>421</v>
      </c>
      <c r="L43" s="120"/>
      <c r="M43" s="45">
        <v>1.0</v>
      </c>
      <c r="N43" s="48">
        <f>SUM(M41:M43)</f>
        <v>52</v>
      </c>
      <c r="O43" s="119" t="s">
        <v>422</v>
      </c>
      <c r="P43" s="120"/>
      <c r="Q43" s="45">
        <v>12.0</v>
      </c>
      <c r="R43" s="48">
        <f>SUM(Q41:Q43)</f>
        <v>30</v>
      </c>
      <c r="S43" s="119" t="s">
        <v>423</v>
      </c>
      <c r="T43" s="120"/>
      <c r="U43" s="45">
        <v>1.0</v>
      </c>
      <c r="V43" s="48">
        <f>SUM(U41:U43)</f>
        <v>42</v>
      </c>
    </row>
    <row r="44" ht="14.25" customHeight="1">
      <c r="B44" s="107"/>
      <c r="C44" s="56" t="s">
        <v>424</v>
      </c>
      <c r="D44" s="3"/>
      <c r="E44" s="57">
        <v>20.0</v>
      </c>
      <c r="F44" s="54"/>
      <c r="G44" s="50" t="s">
        <v>425</v>
      </c>
      <c r="H44" s="34"/>
      <c r="I44" s="51">
        <v>60.0</v>
      </c>
      <c r="J44" s="54"/>
      <c r="K44" s="50" t="s">
        <v>426</v>
      </c>
      <c r="L44" s="34"/>
      <c r="M44" s="51">
        <v>22.0</v>
      </c>
      <c r="N44" s="54"/>
      <c r="O44" s="50" t="s">
        <v>427</v>
      </c>
      <c r="P44" s="34"/>
      <c r="Q44" s="51">
        <v>19.0</v>
      </c>
      <c r="R44" s="54"/>
      <c r="S44" s="50" t="s">
        <v>428</v>
      </c>
      <c r="T44" s="34"/>
      <c r="U44" s="51">
        <v>4.0</v>
      </c>
      <c r="V44" s="54"/>
    </row>
    <row r="45" ht="14.25" customHeight="1">
      <c r="B45" s="108"/>
      <c r="C45" s="56" t="s">
        <v>429</v>
      </c>
      <c r="D45" s="3"/>
      <c r="E45" s="57">
        <v>6.0</v>
      </c>
      <c r="F45" s="54"/>
      <c r="G45" s="56" t="s">
        <v>430</v>
      </c>
      <c r="H45" s="3"/>
      <c r="I45" s="57">
        <v>58.0</v>
      </c>
      <c r="J45" s="54"/>
      <c r="K45" s="56" t="s">
        <v>431</v>
      </c>
      <c r="L45" s="3"/>
      <c r="M45" s="57">
        <v>17.0</v>
      </c>
      <c r="N45" s="54"/>
      <c r="O45" s="56" t="s">
        <v>432</v>
      </c>
      <c r="P45" s="3"/>
      <c r="Q45" s="57">
        <v>42.0</v>
      </c>
      <c r="R45" s="54"/>
      <c r="S45" s="56" t="s">
        <v>433</v>
      </c>
      <c r="T45" s="3"/>
      <c r="U45" s="57">
        <v>8.0</v>
      </c>
      <c r="V45" s="54"/>
    </row>
    <row r="46" ht="14.25" customHeight="1">
      <c r="B46" s="108"/>
      <c r="C46" s="56" t="s">
        <v>434</v>
      </c>
      <c r="D46" s="3"/>
      <c r="E46" s="57">
        <v>2.0</v>
      </c>
      <c r="F46" s="54"/>
      <c r="G46" s="56" t="s">
        <v>435</v>
      </c>
      <c r="H46" s="3"/>
      <c r="I46" s="57">
        <v>28.0</v>
      </c>
      <c r="J46" s="54"/>
      <c r="K46" s="56" t="s">
        <v>436</v>
      </c>
      <c r="L46" s="3"/>
      <c r="M46" s="57">
        <v>1.0</v>
      </c>
      <c r="N46" s="54"/>
      <c r="O46" s="56" t="s">
        <v>437</v>
      </c>
      <c r="P46" s="3"/>
      <c r="Q46" s="57">
        <v>17.0</v>
      </c>
      <c r="R46" s="54"/>
      <c r="S46" s="56" t="s">
        <v>438</v>
      </c>
      <c r="T46" s="3"/>
      <c r="U46" s="57">
        <v>40.0</v>
      </c>
      <c r="V46" s="54"/>
    </row>
    <row r="47" ht="14.25" customHeight="1">
      <c r="B47" s="109" t="s">
        <v>54</v>
      </c>
      <c r="C47" s="56" t="s">
        <v>439</v>
      </c>
      <c r="D47" s="3"/>
      <c r="E47" s="57">
        <v>7.0</v>
      </c>
      <c r="F47" s="54"/>
      <c r="G47" s="56" t="s">
        <v>440</v>
      </c>
      <c r="H47" s="3"/>
      <c r="I47" s="57">
        <v>15.0</v>
      </c>
      <c r="J47" s="54"/>
      <c r="K47" s="56" t="s">
        <v>441</v>
      </c>
      <c r="L47" s="3"/>
      <c r="M47" s="57">
        <v>21.0</v>
      </c>
      <c r="N47" s="54"/>
      <c r="O47" s="56" t="s">
        <v>442</v>
      </c>
      <c r="P47" s="3"/>
      <c r="Q47" s="57">
        <v>8.0</v>
      </c>
      <c r="R47" s="54"/>
      <c r="S47" s="56" t="s">
        <v>443</v>
      </c>
      <c r="T47" s="3"/>
      <c r="U47" s="57">
        <v>1.0</v>
      </c>
      <c r="V47" s="54"/>
    </row>
    <row r="48" ht="14.25" customHeight="1">
      <c r="B48" s="108"/>
      <c r="C48" s="56" t="s">
        <v>444</v>
      </c>
      <c r="D48" s="3"/>
      <c r="E48" s="57">
        <v>8.0</v>
      </c>
      <c r="F48" s="54"/>
      <c r="G48" s="56" t="s">
        <v>445</v>
      </c>
      <c r="H48" s="3"/>
      <c r="I48" s="57">
        <v>1.0</v>
      </c>
      <c r="J48" s="54"/>
      <c r="K48" s="56" t="s">
        <v>446</v>
      </c>
      <c r="L48" s="3"/>
      <c r="M48" s="57">
        <v>5.0</v>
      </c>
      <c r="N48" s="54"/>
      <c r="O48" s="56" t="s">
        <v>447</v>
      </c>
      <c r="P48" s="3"/>
      <c r="Q48" s="57">
        <v>12.0</v>
      </c>
      <c r="R48" s="54"/>
      <c r="S48" s="56" t="s">
        <v>448</v>
      </c>
      <c r="T48" s="3"/>
      <c r="U48" s="57">
        <v>22.0</v>
      </c>
      <c r="V48" s="54"/>
    </row>
    <row r="49" ht="14.25" customHeight="1">
      <c r="B49" s="108"/>
      <c r="C49" s="56" t="s">
        <v>449</v>
      </c>
      <c r="D49" s="3"/>
      <c r="E49" s="57">
        <v>30.0</v>
      </c>
      <c r="F49" s="54"/>
      <c r="G49" s="56" t="s">
        <v>450</v>
      </c>
      <c r="H49" s="3"/>
      <c r="I49" s="57">
        <v>7.0</v>
      </c>
      <c r="J49" s="54"/>
      <c r="K49" s="56" t="s">
        <v>451</v>
      </c>
      <c r="L49" s="3"/>
      <c r="M49" s="57">
        <v>2.0</v>
      </c>
      <c r="N49" s="54"/>
      <c r="O49" s="56" t="s">
        <v>452</v>
      </c>
      <c r="P49" s="3"/>
      <c r="Q49" s="57">
        <v>1.0</v>
      </c>
      <c r="R49" s="54"/>
      <c r="S49" s="56" t="s">
        <v>453</v>
      </c>
      <c r="T49" s="3"/>
      <c r="U49" s="57">
        <v>18.0</v>
      </c>
      <c r="V49" s="54"/>
    </row>
    <row r="50" ht="14.25" customHeight="1">
      <c r="B50" s="108"/>
      <c r="C50" s="56" t="s">
        <v>454</v>
      </c>
      <c r="D50" s="3"/>
      <c r="E50" s="57">
        <v>1.0</v>
      </c>
      <c r="F50" s="54"/>
      <c r="G50" s="56" t="s">
        <v>455</v>
      </c>
      <c r="H50" s="3"/>
      <c r="I50" s="57">
        <v>1.0</v>
      </c>
      <c r="J50" s="54"/>
      <c r="K50" s="56" t="s">
        <v>456</v>
      </c>
      <c r="L50" s="3"/>
      <c r="M50" s="57">
        <v>4.0</v>
      </c>
      <c r="N50" s="54"/>
      <c r="O50" s="56" t="s">
        <v>457</v>
      </c>
      <c r="P50" s="3"/>
      <c r="Q50" s="57">
        <v>1.0</v>
      </c>
      <c r="R50" s="54"/>
      <c r="S50" s="56" t="s">
        <v>458</v>
      </c>
      <c r="T50" s="3"/>
      <c r="U50" s="57">
        <v>1.0</v>
      </c>
      <c r="V50" s="54"/>
    </row>
    <row r="51" ht="14.25" customHeight="1">
      <c r="B51" s="110"/>
      <c r="C51" s="60" t="s">
        <v>459</v>
      </c>
      <c r="D51" s="61"/>
      <c r="E51" s="62">
        <v>1.0</v>
      </c>
      <c r="F51" s="65">
        <f>SUM(E44:E51)</f>
        <v>75</v>
      </c>
      <c r="G51" s="60" t="s">
        <v>460</v>
      </c>
      <c r="H51" s="61"/>
      <c r="I51" s="62">
        <v>2.0</v>
      </c>
      <c r="J51" s="65">
        <f>SUM(I44:I51)</f>
        <v>172</v>
      </c>
      <c r="K51" s="60" t="s">
        <v>461</v>
      </c>
      <c r="L51" s="61"/>
      <c r="M51" s="62">
        <v>3.0</v>
      </c>
      <c r="N51" s="65">
        <f>SUM(M44:M51)</f>
        <v>75</v>
      </c>
      <c r="O51" s="60" t="s">
        <v>462</v>
      </c>
      <c r="P51" s="61"/>
      <c r="Q51" s="62">
        <v>1.0</v>
      </c>
      <c r="R51" s="65">
        <f>SUM(Q44:Q51)</f>
        <v>101</v>
      </c>
      <c r="S51" s="60" t="s">
        <v>463</v>
      </c>
      <c r="T51" s="61"/>
      <c r="U51" s="62">
        <v>1.0</v>
      </c>
      <c r="V51" s="65">
        <f>SUM(U44:U51)</f>
        <v>95</v>
      </c>
      <c r="W51" s="125" t="s">
        <v>464</v>
      </c>
    </row>
    <row r="52" ht="14.25" customHeight="1">
      <c r="B52" s="111"/>
      <c r="C52" s="67" t="s">
        <v>465</v>
      </c>
      <c r="D52" s="68"/>
      <c r="E52" s="69">
        <v>56.0</v>
      </c>
      <c r="F52" s="72"/>
      <c r="G52" s="67" t="s">
        <v>466</v>
      </c>
      <c r="H52" s="68"/>
      <c r="I52" s="69">
        <v>28.0</v>
      </c>
      <c r="J52" s="72"/>
      <c r="K52" s="67" t="s">
        <v>467</v>
      </c>
      <c r="L52" s="68"/>
      <c r="M52" s="69">
        <v>59.0</v>
      </c>
      <c r="N52" s="72"/>
      <c r="O52" s="67" t="s">
        <v>468</v>
      </c>
      <c r="P52" s="68"/>
      <c r="Q52" s="69">
        <v>36.0</v>
      </c>
      <c r="R52" s="72"/>
      <c r="S52" s="67" t="s">
        <v>469</v>
      </c>
      <c r="T52" s="68"/>
      <c r="U52" s="69">
        <v>42.0</v>
      </c>
      <c r="V52" s="72"/>
    </row>
    <row r="53" ht="14.25" customHeight="1">
      <c r="B53" s="112"/>
      <c r="C53" s="74" t="s">
        <v>470</v>
      </c>
      <c r="D53" s="3"/>
      <c r="E53" s="75">
        <v>30.0</v>
      </c>
      <c r="F53" s="72"/>
      <c r="G53" s="74" t="s">
        <v>471</v>
      </c>
      <c r="H53" s="3"/>
      <c r="I53" s="75">
        <v>36.0</v>
      </c>
      <c r="J53" s="72"/>
      <c r="K53" s="74" t="s">
        <v>472</v>
      </c>
      <c r="L53" s="3"/>
      <c r="M53" s="75">
        <v>41.0</v>
      </c>
      <c r="N53" s="72"/>
      <c r="O53" s="74" t="s">
        <v>473</v>
      </c>
      <c r="P53" s="3"/>
      <c r="Q53" s="75">
        <v>50.0</v>
      </c>
      <c r="R53" s="72"/>
      <c r="S53" s="74" t="s">
        <v>474</v>
      </c>
      <c r="T53" s="3"/>
      <c r="U53" s="75">
        <v>33.0</v>
      </c>
      <c r="V53" s="72"/>
    </row>
    <row r="54" ht="14.25" customHeight="1">
      <c r="B54" s="112"/>
      <c r="C54" s="74" t="s">
        <v>475</v>
      </c>
      <c r="D54" s="3"/>
      <c r="E54" s="75">
        <v>9.0</v>
      </c>
      <c r="F54" s="72"/>
      <c r="G54" s="74" t="s">
        <v>476</v>
      </c>
      <c r="H54" s="3"/>
      <c r="I54" s="75">
        <v>14.0</v>
      </c>
      <c r="J54" s="72"/>
      <c r="K54" s="74" t="s">
        <v>477</v>
      </c>
      <c r="L54" s="3"/>
      <c r="M54" s="75">
        <v>18.0</v>
      </c>
      <c r="N54" s="72"/>
      <c r="O54" s="74" t="s">
        <v>478</v>
      </c>
      <c r="P54" s="3"/>
      <c r="Q54" s="75">
        <v>23.0</v>
      </c>
      <c r="R54" s="72"/>
      <c r="S54" s="74" t="s">
        <v>479</v>
      </c>
      <c r="T54" s="3"/>
      <c r="U54" s="75">
        <v>26.0</v>
      </c>
      <c r="V54" s="72"/>
    </row>
    <row r="55" ht="14.25" customHeight="1">
      <c r="B55" s="113" t="s">
        <v>95</v>
      </c>
      <c r="C55" s="74" t="s">
        <v>480</v>
      </c>
      <c r="D55" s="3"/>
      <c r="E55" s="75">
        <v>47.0</v>
      </c>
      <c r="F55" s="72"/>
      <c r="G55" s="74" t="s">
        <v>481</v>
      </c>
      <c r="H55" s="3"/>
      <c r="I55" s="75">
        <v>1.0</v>
      </c>
      <c r="J55" s="72"/>
      <c r="K55" s="74" t="s">
        <v>482</v>
      </c>
      <c r="L55" s="3"/>
      <c r="M55" s="75">
        <v>14.0</v>
      </c>
      <c r="N55" s="72"/>
      <c r="O55" s="74" t="s">
        <v>483</v>
      </c>
      <c r="P55" s="3"/>
      <c r="Q55" s="75">
        <v>8.0</v>
      </c>
      <c r="R55" s="72"/>
      <c r="S55" s="74" t="s">
        <v>484</v>
      </c>
      <c r="T55" s="3"/>
      <c r="U55" s="75">
        <v>20.0</v>
      </c>
      <c r="V55" s="72"/>
    </row>
    <row r="56" ht="14.25" customHeight="1">
      <c r="B56" s="112"/>
      <c r="C56" s="74" t="s">
        <v>485</v>
      </c>
      <c r="D56" s="3"/>
      <c r="E56" s="75">
        <v>11.0</v>
      </c>
      <c r="F56" s="72"/>
      <c r="G56" s="74" t="s">
        <v>486</v>
      </c>
      <c r="H56" s="3"/>
      <c r="I56" s="75">
        <v>4.0</v>
      </c>
      <c r="J56" s="72"/>
      <c r="K56" s="74" t="s">
        <v>487</v>
      </c>
      <c r="L56" s="3"/>
      <c r="M56" s="75">
        <v>3.0</v>
      </c>
      <c r="N56" s="72"/>
      <c r="O56" s="74" t="s">
        <v>488</v>
      </c>
      <c r="P56" s="3"/>
      <c r="Q56" s="75">
        <v>2.0</v>
      </c>
      <c r="R56" s="72"/>
      <c r="S56" s="74" t="s">
        <v>489</v>
      </c>
      <c r="T56" s="3"/>
      <c r="U56" s="75">
        <v>24.0</v>
      </c>
      <c r="V56" s="72"/>
    </row>
    <row r="57" ht="14.25" customHeight="1">
      <c r="B57" s="112"/>
      <c r="C57" s="74" t="s">
        <v>490</v>
      </c>
      <c r="D57" s="3"/>
      <c r="E57" s="75">
        <v>9.0</v>
      </c>
      <c r="F57" s="72"/>
      <c r="G57" s="74" t="s">
        <v>491</v>
      </c>
      <c r="H57" s="3"/>
      <c r="I57" s="75">
        <v>1.0</v>
      </c>
      <c r="J57" s="72"/>
      <c r="K57" s="74" t="s">
        <v>492</v>
      </c>
      <c r="L57" s="3"/>
      <c r="M57" s="75">
        <v>5.0</v>
      </c>
      <c r="N57" s="72"/>
      <c r="O57" s="74" t="s">
        <v>493</v>
      </c>
      <c r="P57" s="3"/>
      <c r="Q57" s="75">
        <v>2.0</v>
      </c>
      <c r="R57" s="72"/>
      <c r="S57" s="74" t="s">
        <v>494</v>
      </c>
      <c r="T57" s="3"/>
      <c r="U57" s="75">
        <v>1.0</v>
      </c>
      <c r="V57" s="72"/>
    </row>
    <row r="58" ht="14.25" customHeight="1">
      <c r="B58" s="112"/>
      <c r="C58" s="74" t="s">
        <v>495</v>
      </c>
      <c r="D58" s="3"/>
      <c r="E58" s="75">
        <v>4.0</v>
      </c>
      <c r="F58" s="72"/>
      <c r="G58" s="74" t="s">
        <v>496</v>
      </c>
      <c r="H58" s="3"/>
      <c r="I58" s="75">
        <v>9.0</v>
      </c>
      <c r="J58" s="72"/>
      <c r="K58" s="74" t="s">
        <v>497</v>
      </c>
      <c r="L58" s="3"/>
      <c r="M58" s="75">
        <v>1.0</v>
      </c>
      <c r="N58" s="72"/>
      <c r="O58" s="74" t="s">
        <v>498</v>
      </c>
      <c r="P58" s="3"/>
      <c r="Q58" s="75">
        <v>1.0</v>
      </c>
      <c r="R58" s="72"/>
      <c r="S58" s="74" t="s">
        <v>499</v>
      </c>
      <c r="T58" s="3"/>
      <c r="U58" s="75">
        <v>2.0</v>
      </c>
      <c r="V58" s="72"/>
    </row>
    <row r="59" ht="14.25" customHeight="1">
      <c r="B59" s="114"/>
      <c r="C59" s="78" t="s">
        <v>500</v>
      </c>
      <c r="D59" s="61"/>
      <c r="E59" s="79">
        <v>1.0</v>
      </c>
      <c r="F59" s="82">
        <f>SUM(E52:E59)</f>
        <v>167</v>
      </c>
      <c r="G59" s="78" t="s">
        <v>501</v>
      </c>
      <c r="H59" s="61"/>
      <c r="I59" s="79">
        <v>1.0</v>
      </c>
      <c r="J59" s="82">
        <f>SUM(I52:I59)</f>
        <v>94</v>
      </c>
      <c r="K59" s="78" t="s">
        <v>502</v>
      </c>
      <c r="L59" s="61"/>
      <c r="M59" s="79">
        <v>1.0</v>
      </c>
      <c r="N59" s="82">
        <f>SUM(M52:M59)</f>
        <v>142</v>
      </c>
      <c r="O59" s="78" t="s">
        <v>503</v>
      </c>
      <c r="P59" s="61"/>
      <c r="Q59" s="79">
        <v>1.0</v>
      </c>
      <c r="R59" s="82">
        <f>SUM(Q52:Q59)</f>
        <v>123</v>
      </c>
      <c r="S59" s="78" t="s">
        <v>504</v>
      </c>
      <c r="T59" s="61"/>
      <c r="U59" s="79">
        <v>1.0</v>
      </c>
      <c r="V59" s="82">
        <f>SUM(U52:U59)</f>
        <v>149</v>
      </c>
    </row>
    <row r="60" ht="14.25" customHeight="1">
      <c r="B60" s="115"/>
      <c r="C60" s="84" t="s">
        <v>505</v>
      </c>
      <c r="D60" s="68"/>
      <c r="E60" s="85">
        <v>55.0</v>
      </c>
      <c r="F60" s="88"/>
      <c r="G60" s="84" t="s">
        <v>506</v>
      </c>
      <c r="H60" s="68"/>
      <c r="I60" s="85">
        <v>127.0</v>
      </c>
      <c r="J60" s="88"/>
      <c r="K60" s="84" t="s">
        <v>507</v>
      </c>
      <c r="L60" s="68"/>
      <c r="M60" s="85">
        <v>7.0</v>
      </c>
      <c r="N60" s="88"/>
      <c r="O60" s="84" t="s">
        <v>508</v>
      </c>
      <c r="P60" s="68"/>
      <c r="Q60" s="85">
        <v>89.0</v>
      </c>
      <c r="R60" s="88"/>
      <c r="S60" s="84" t="s">
        <v>509</v>
      </c>
      <c r="T60" s="68"/>
      <c r="U60" s="85">
        <v>126.0</v>
      </c>
      <c r="V60" s="88"/>
    </row>
    <row r="61" ht="14.25" customHeight="1">
      <c r="B61" s="116"/>
      <c r="C61" s="90" t="s">
        <v>510</v>
      </c>
      <c r="D61" s="3"/>
      <c r="E61" s="91">
        <v>74.0</v>
      </c>
      <c r="F61" s="88"/>
      <c r="G61" s="90" t="s">
        <v>511</v>
      </c>
      <c r="H61" s="3"/>
      <c r="I61" s="91">
        <v>10.0</v>
      </c>
      <c r="J61" s="88"/>
      <c r="K61" s="90" t="s">
        <v>512</v>
      </c>
      <c r="L61" s="3"/>
      <c r="M61" s="91">
        <v>96.0</v>
      </c>
      <c r="N61" s="88"/>
      <c r="O61" s="90" t="s">
        <v>513</v>
      </c>
      <c r="P61" s="3"/>
      <c r="Q61" s="91">
        <v>106.0</v>
      </c>
      <c r="R61" s="88"/>
      <c r="S61" s="90" t="s">
        <v>514</v>
      </c>
      <c r="T61" s="3"/>
      <c r="U61" s="91">
        <v>43.0</v>
      </c>
      <c r="V61" s="88"/>
    </row>
    <row r="62" ht="14.25" customHeight="1">
      <c r="B62" s="117" t="s">
        <v>131</v>
      </c>
      <c r="C62" s="90" t="s">
        <v>515</v>
      </c>
      <c r="D62" s="3"/>
      <c r="E62" s="91">
        <v>23.0</v>
      </c>
      <c r="F62" s="88"/>
      <c r="G62" s="90" t="s">
        <v>516</v>
      </c>
      <c r="H62" s="3"/>
      <c r="I62" s="91">
        <v>22.0</v>
      </c>
      <c r="J62" s="88"/>
      <c r="K62" s="90" t="s">
        <v>517</v>
      </c>
      <c r="L62" s="3"/>
      <c r="M62" s="91">
        <v>28.0</v>
      </c>
      <c r="N62" s="88"/>
      <c r="O62" s="90" t="s">
        <v>518</v>
      </c>
      <c r="P62" s="3"/>
      <c r="Q62" s="91">
        <v>11.0</v>
      </c>
      <c r="R62" s="88"/>
      <c r="S62" s="90" t="s">
        <v>519</v>
      </c>
      <c r="T62" s="3"/>
      <c r="U62" s="91">
        <v>41.0</v>
      </c>
      <c r="V62" s="88"/>
    </row>
    <row r="63" ht="14.25" customHeight="1">
      <c r="B63" s="116"/>
      <c r="C63" s="90" t="s">
        <v>520</v>
      </c>
      <c r="D63" s="3"/>
      <c r="E63" s="91">
        <v>19.0</v>
      </c>
      <c r="F63" s="88"/>
      <c r="G63" s="90" t="s">
        <v>521</v>
      </c>
      <c r="H63" s="3"/>
      <c r="I63" s="91">
        <v>7.0</v>
      </c>
      <c r="J63" s="88"/>
      <c r="K63" s="90" t="s">
        <v>522</v>
      </c>
      <c r="L63" s="3"/>
      <c r="M63" s="91">
        <v>21.0</v>
      </c>
      <c r="N63" s="88"/>
      <c r="O63" s="90" t="s">
        <v>523</v>
      </c>
      <c r="P63" s="3"/>
      <c r="Q63" s="91">
        <v>12.0</v>
      </c>
      <c r="R63" s="88"/>
      <c r="S63" s="90" t="s">
        <v>524</v>
      </c>
      <c r="T63" s="3"/>
      <c r="U63" s="91">
        <v>2.0</v>
      </c>
      <c r="V63" s="88"/>
    </row>
    <row r="64" ht="14.25" customHeight="1">
      <c r="B64" s="116"/>
      <c r="C64" s="90" t="s">
        <v>525</v>
      </c>
      <c r="D64" s="3"/>
      <c r="E64" s="91">
        <v>41.0</v>
      </c>
      <c r="F64" s="88"/>
      <c r="G64" s="90" t="s">
        <v>526</v>
      </c>
      <c r="H64" s="3"/>
      <c r="I64" s="91">
        <v>12.0</v>
      </c>
      <c r="J64" s="88"/>
      <c r="K64" s="90" t="s">
        <v>527</v>
      </c>
      <c r="L64" s="3"/>
      <c r="M64" s="91">
        <v>22.0</v>
      </c>
      <c r="N64" s="88"/>
      <c r="O64" s="90" t="s">
        <v>528</v>
      </c>
      <c r="P64" s="3"/>
      <c r="Q64" s="91">
        <v>15.0</v>
      </c>
      <c r="R64" s="88"/>
      <c r="S64" s="90" t="s">
        <v>529</v>
      </c>
      <c r="T64" s="3"/>
      <c r="U64" s="91">
        <v>1.0</v>
      </c>
      <c r="V64" s="88"/>
    </row>
    <row r="65" ht="14.25" customHeight="1">
      <c r="B65" s="118"/>
      <c r="C65" s="94" t="s">
        <v>530</v>
      </c>
      <c r="D65" s="61"/>
      <c r="E65" s="95">
        <v>1.0</v>
      </c>
      <c r="F65" s="98">
        <f>SUM(E60:E65)</f>
        <v>213</v>
      </c>
      <c r="G65" s="94" t="s">
        <v>531</v>
      </c>
      <c r="H65" s="61"/>
      <c r="I65" s="95">
        <v>11.0</v>
      </c>
      <c r="J65" s="98">
        <f>SUM(I60:I65)</f>
        <v>189</v>
      </c>
      <c r="K65" s="94" t="s">
        <v>532</v>
      </c>
      <c r="L65" s="61"/>
      <c r="M65" s="95">
        <v>23.0</v>
      </c>
      <c r="N65" s="98">
        <f>SUM(M60:M65)</f>
        <v>197</v>
      </c>
      <c r="O65" s="94" t="s">
        <v>533</v>
      </c>
      <c r="P65" s="61"/>
      <c r="Q65" s="95">
        <v>1.0</v>
      </c>
      <c r="R65" s="98">
        <f>SUM(Q60:Q65)</f>
        <v>234</v>
      </c>
      <c r="S65" s="94" t="s">
        <v>534</v>
      </c>
      <c r="T65" s="61"/>
      <c r="U65" s="95">
        <v>1.0</v>
      </c>
      <c r="V65" s="98">
        <f>SUM(U60:U65)</f>
        <v>214</v>
      </c>
    </row>
    <row r="66" ht="14.25" customHeight="1">
      <c r="C66" s="23" t="s">
        <v>152</v>
      </c>
      <c r="D66" s="22"/>
      <c r="E66" s="102">
        <f>SUM(E41:E65)</f>
        <v>492</v>
      </c>
      <c r="F66" s="101"/>
      <c r="G66" s="23" t="s">
        <v>152</v>
      </c>
      <c r="H66" s="22"/>
      <c r="I66" s="102">
        <f>SUM(I41:I65)</f>
        <v>484</v>
      </c>
      <c r="J66" s="101"/>
      <c r="K66" s="23" t="s">
        <v>152</v>
      </c>
      <c r="L66" s="22"/>
      <c r="M66" s="102">
        <f>SUM(M41:M65)</f>
        <v>466</v>
      </c>
      <c r="N66" s="101"/>
      <c r="O66" s="23" t="s">
        <v>152</v>
      </c>
      <c r="P66" s="22"/>
      <c r="Q66" s="102">
        <f>SUM(Q41:Q65)</f>
        <v>488</v>
      </c>
      <c r="R66" s="101"/>
      <c r="S66" s="23" t="s">
        <v>152</v>
      </c>
      <c r="T66" s="22"/>
      <c r="U66" s="102">
        <f>SUM(U41:U65)</f>
        <v>500</v>
      </c>
      <c r="V66" s="101"/>
    </row>
    <row r="67" ht="14.25" customHeight="1">
      <c r="C67" s="23" t="s">
        <v>153</v>
      </c>
      <c r="D67" s="22"/>
      <c r="E67" s="102">
        <f>500-E66</f>
        <v>8</v>
      </c>
      <c r="F67" s="103"/>
      <c r="G67" s="23" t="s">
        <v>153</v>
      </c>
      <c r="H67" s="22"/>
      <c r="I67" s="102">
        <f>500-I66</f>
        <v>16</v>
      </c>
      <c r="J67" s="103"/>
      <c r="K67" s="23" t="s">
        <v>153</v>
      </c>
      <c r="L67" s="22"/>
      <c r="M67" s="102">
        <f>500-M66</f>
        <v>34</v>
      </c>
      <c r="N67" s="103"/>
      <c r="O67" s="23" t="s">
        <v>153</v>
      </c>
      <c r="P67" s="22"/>
      <c r="Q67" s="102">
        <f>500-Q66</f>
        <v>12</v>
      </c>
      <c r="R67" s="103"/>
      <c r="S67" s="23" t="s">
        <v>153</v>
      </c>
      <c r="T67" s="22"/>
      <c r="U67" s="121">
        <f>500-U66</f>
        <v>0</v>
      </c>
      <c r="V67" s="103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7">
    <mergeCell ref="S62:T62"/>
    <mergeCell ref="S63:T63"/>
    <mergeCell ref="O58:P58"/>
    <mergeCell ref="O59:P59"/>
    <mergeCell ref="O60:P60"/>
    <mergeCell ref="O61:P61"/>
    <mergeCell ref="S61:T61"/>
    <mergeCell ref="O62:P62"/>
    <mergeCell ref="O63:P63"/>
    <mergeCell ref="O9:P9"/>
    <mergeCell ref="O10:P10"/>
    <mergeCell ref="O11:P11"/>
    <mergeCell ref="O12:P12"/>
    <mergeCell ref="O13:P13"/>
    <mergeCell ref="O14:P14"/>
    <mergeCell ref="O15:P15"/>
    <mergeCell ref="O25:P25"/>
    <mergeCell ref="O26:P26"/>
    <mergeCell ref="O30:P30"/>
    <mergeCell ref="O31:P31"/>
    <mergeCell ref="O32:P32"/>
    <mergeCell ref="O39:R39"/>
    <mergeCell ref="S39:V39"/>
    <mergeCell ref="O41:P41"/>
    <mergeCell ref="S41:T41"/>
    <mergeCell ref="O42:P42"/>
    <mergeCell ref="S42:T42"/>
    <mergeCell ref="O43:P43"/>
    <mergeCell ref="S43:T43"/>
    <mergeCell ref="S44:T44"/>
    <mergeCell ref="O44:P44"/>
    <mergeCell ref="O45:P45"/>
    <mergeCell ref="O46:P46"/>
    <mergeCell ref="O47:P47"/>
    <mergeCell ref="O48:P48"/>
    <mergeCell ref="O49:P49"/>
    <mergeCell ref="O50:P50"/>
    <mergeCell ref="S45:T45"/>
    <mergeCell ref="S46:T46"/>
    <mergeCell ref="S47:T47"/>
    <mergeCell ref="S48:T48"/>
    <mergeCell ref="S49:T49"/>
    <mergeCell ref="S50:T50"/>
    <mergeCell ref="S51:T51"/>
    <mergeCell ref="O51:P51"/>
    <mergeCell ref="O52:P52"/>
    <mergeCell ref="O53:P53"/>
    <mergeCell ref="O54:P54"/>
    <mergeCell ref="O55:P55"/>
    <mergeCell ref="O56:P56"/>
    <mergeCell ref="O57:P57"/>
    <mergeCell ref="O64:P64"/>
    <mergeCell ref="S64:T64"/>
    <mergeCell ref="G6:H6"/>
    <mergeCell ref="K6:L6"/>
    <mergeCell ref="C7:D7"/>
    <mergeCell ref="G7:H7"/>
    <mergeCell ref="K7:L7"/>
    <mergeCell ref="G8:H8"/>
    <mergeCell ref="K8:L8"/>
    <mergeCell ref="C8:D8"/>
    <mergeCell ref="C9:D9"/>
    <mergeCell ref="G9:H9"/>
    <mergeCell ref="K9:L9"/>
    <mergeCell ref="C10:D10"/>
    <mergeCell ref="K10:L10"/>
    <mergeCell ref="K11:L11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9:J39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66:H66"/>
    <mergeCell ref="G67:H67"/>
    <mergeCell ref="G59:H59"/>
    <mergeCell ref="G60:H60"/>
    <mergeCell ref="G61:H61"/>
    <mergeCell ref="G62:H62"/>
    <mergeCell ref="G63:H63"/>
    <mergeCell ref="G64:H64"/>
    <mergeCell ref="G65:H65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9:F39"/>
    <mergeCell ref="C38:D38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61:D61"/>
    <mergeCell ref="C62:D62"/>
    <mergeCell ref="C63:D63"/>
    <mergeCell ref="C64:D64"/>
    <mergeCell ref="C65:D65"/>
    <mergeCell ref="C66:D66"/>
    <mergeCell ref="C67:D67"/>
    <mergeCell ref="C54:D54"/>
    <mergeCell ref="C55:D55"/>
    <mergeCell ref="C56:D56"/>
    <mergeCell ref="C57:D57"/>
    <mergeCell ref="C58:D58"/>
    <mergeCell ref="C59:D59"/>
    <mergeCell ref="C60:D60"/>
    <mergeCell ref="O23:P23"/>
    <mergeCell ref="O24:P24"/>
    <mergeCell ref="O16:P16"/>
    <mergeCell ref="O17:P17"/>
    <mergeCell ref="O18:P18"/>
    <mergeCell ref="O19:P19"/>
    <mergeCell ref="O20:P20"/>
    <mergeCell ref="O21:P21"/>
    <mergeCell ref="O22:P22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30:L30"/>
    <mergeCell ref="K31:L31"/>
    <mergeCell ref="K32:L32"/>
    <mergeCell ref="K39:N39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65:L65"/>
    <mergeCell ref="K66:L66"/>
    <mergeCell ref="K67:L67"/>
    <mergeCell ref="K58:L58"/>
    <mergeCell ref="K59:L59"/>
    <mergeCell ref="K60:L60"/>
    <mergeCell ref="K61:L61"/>
    <mergeCell ref="K62:L62"/>
    <mergeCell ref="K63:L63"/>
    <mergeCell ref="K64:L64"/>
    <mergeCell ref="H1:Q1"/>
    <mergeCell ref="C4:F4"/>
    <mergeCell ref="G4:J4"/>
    <mergeCell ref="K4:N4"/>
    <mergeCell ref="O4:R4"/>
    <mergeCell ref="S4:V4"/>
    <mergeCell ref="C6:D6"/>
    <mergeCell ref="O6:P6"/>
    <mergeCell ref="S6:T6"/>
    <mergeCell ref="O7:P7"/>
    <mergeCell ref="S7:T7"/>
    <mergeCell ref="O8:P8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K26:L26"/>
    <mergeCell ref="K27:L27"/>
    <mergeCell ref="O27:P27"/>
    <mergeCell ref="O28:P28"/>
    <mergeCell ref="O29:P29"/>
    <mergeCell ref="K28:L28"/>
    <mergeCell ref="K29:L29"/>
    <mergeCell ref="S31:T31"/>
    <mergeCell ref="S32:T32"/>
    <mergeCell ref="S24:T24"/>
    <mergeCell ref="S25:T25"/>
    <mergeCell ref="S26:T26"/>
    <mergeCell ref="S27:T27"/>
    <mergeCell ref="S28:T28"/>
    <mergeCell ref="S29:T29"/>
    <mergeCell ref="S30:T30"/>
    <mergeCell ref="S59:T59"/>
    <mergeCell ref="S60:T60"/>
    <mergeCell ref="O65:P65"/>
    <mergeCell ref="S65:T65"/>
    <mergeCell ref="O66:P66"/>
    <mergeCell ref="S66:T66"/>
    <mergeCell ref="O67:P67"/>
    <mergeCell ref="S67:T67"/>
    <mergeCell ref="S52:T52"/>
    <mergeCell ref="S53:T53"/>
    <mergeCell ref="S54:T54"/>
    <mergeCell ref="S55:T55"/>
    <mergeCell ref="S56:T56"/>
    <mergeCell ref="S57:T57"/>
    <mergeCell ref="S58:T58"/>
  </mergeCells>
  <dataValidations>
    <dataValidation type="list" allowBlank="1" sqref="C6:C30 G6:G30 K6:K30 O6:O30 S6:S30 C41:C65 G41:G65 K41:K65 O41:O65 S41:S65">
      <formula1>Lista!$C$541:$C$998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57"/>
    <col customWidth="1" min="7" max="22" width="8.71"/>
    <col customWidth="1" min="23" max="26" width="16.43"/>
  </cols>
  <sheetData>
    <row r="1" ht="28.5" customHeight="1">
      <c r="H1" s="20" t="s">
        <v>535</v>
      </c>
      <c r="I1" s="21"/>
      <c r="J1" s="21"/>
      <c r="K1" s="21"/>
      <c r="L1" s="21"/>
      <c r="M1" s="21"/>
      <c r="N1" s="21"/>
      <c r="O1" s="21"/>
      <c r="P1" s="21"/>
      <c r="Q1" s="22"/>
    </row>
    <row r="2" ht="14.25" customHeight="1"/>
    <row r="3" ht="14.25" customHeight="1"/>
    <row r="4" ht="14.25" customHeight="1">
      <c r="C4" s="24" t="s">
        <v>536</v>
      </c>
      <c r="D4" s="21"/>
      <c r="E4" s="21"/>
      <c r="F4" s="22"/>
      <c r="G4" s="24" t="s">
        <v>537</v>
      </c>
      <c r="H4" s="21"/>
      <c r="I4" s="21"/>
      <c r="J4" s="22"/>
      <c r="K4" s="24" t="s">
        <v>538</v>
      </c>
      <c r="L4" s="21"/>
      <c r="M4" s="21"/>
      <c r="N4" s="22"/>
      <c r="O4" s="24" t="s">
        <v>539</v>
      </c>
      <c r="P4" s="21"/>
      <c r="Q4" s="21"/>
      <c r="R4" s="22"/>
      <c r="S4" s="24" t="s">
        <v>540</v>
      </c>
      <c r="T4" s="21"/>
      <c r="U4" s="21"/>
      <c r="V4" s="22"/>
      <c r="X4" s="125" t="s">
        <v>541</v>
      </c>
    </row>
    <row r="5" ht="14.25" customHeight="1">
      <c r="C5" s="25" t="s">
        <v>20</v>
      </c>
      <c r="D5" s="26"/>
      <c r="E5" s="27" t="s">
        <v>21</v>
      </c>
      <c r="F5" s="28" t="s">
        <v>22</v>
      </c>
      <c r="G5" s="25" t="s">
        <v>20</v>
      </c>
      <c r="H5" s="26"/>
      <c r="I5" s="27" t="s">
        <v>21</v>
      </c>
      <c r="J5" s="28" t="s">
        <v>22</v>
      </c>
      <c r="K5" s="29" t="s">
        <v>20</v>
      </c>
      <c r="L5" s="30"/>
      <c r="M5" s="31" t="s">
        <v>21</v>
      </c>
      <c r="N5" s="28" t="s">
        <v>22</v>
      </c>
      <c r="O5" s="126" t="s">
        <v>542</v>
      </c>
      <c r="P5" s="30"/>
      <c r="Q5" s="31" t="s">
        <v>21</v>
      </c>
      <c r="R5" s="28" t="s">
        <v>22</v>
      </c>
      <c r="S5" s="29" t="s">
        <v>20</v>
      </c>
      <c r="T5" s="30"/>
      <c r="U5" s="31" t="s">
        <v>21</v>
      </c>
      <c r="V5" s="28" t="s">
        <v>22</v>
      </c>
      <c r="X5" s="125" t="s">
        <v>11</v>
      </c>
    </row>
    <row r="6" ht="14.25" customHeight="1">
      <c r="B6" s="32"/>
      <c r="C6" s="33" t="s">
        <v>543</v>
      </c>
      <c r="D6" s="34"/>
      <c r="E6" s="35">
        <v>55.0</v>
      </c>
      <c r="F6" s="36"/>
      <c r="G6" s="33" t="s">
        <v>544</v>
      </c>
      <c r="H6" s="34"/>
      <c r="I6" s="35">
        <v>68.0</v>
      </c>
      <c r="J6" s="37"/>
      <c r="K6" s="33" t="s">
        <v>545</v>
      </c>
      <c r="L6" s="34"/>
      <c r="M6" s="35">
        <v>50.0</v>
      </c>
      <c r="N6" s="38"/>
      <c r="O6" s="33" t="s">
        <v>546</v>
      </c>
      <c r="P6" s="34"/>
      <c r="Q6" s="35">
        <v>56.0</v>
      </c>
      <c r="R6" s="38"/>
      <c r="S6" s="33" t="s">
        <v>547</v>
      </c>
      <c r="T6" s="34"/>
      <c r="U6" s="35">
        <v>51.0</v>
      </c>
      <c r="V6" s="38"/>
    </row>
    <row r="7" ht="14.25" customHeight="1">
      <c r="B7" s="39" t="s">
        <v>28</v>
      </c>
      <c r="C7" s="33" t="s">
        <v>548</v>
      </c>
      <c r="D7" s="34"/>
      <c r="E7" s="41">
        <v>6.0</v>
      </c>
      <c r="F7" s="36"/>
      <c r="G7" s="33" t="s">
        <v>549</v>
      </c>
      <c r="H7" s="34"/>
      <c r="I7" s="41">
        <v>1.0</v>
      </c>
      <c r="J7" s="37"/>
      <c r="K7" s="33" t="s">
        <v>550</v>
      </c>
      <c r="L7" s="34"/>
      <c r="M7" s="41">
        <v>1.0</v>
      </c>
      <c r="N7" s="38"/>
      <c r="O7" s="33" t="s">
        <v>551</v>
      </c>
      <c r="P7" s="34"/>
      <c r="Q7" s="41">
        <v>1.0</v>
      </c>
      <c r="R7" s="38"/>
      <c r="S7" s="33" t="s">
        <v>552</v>
      </c>
      <c r="T7" s="34"/>
      <c r="U7" s="41">
        <v>1.0</v>
      </c>
      <c r="V7" s="38"/>
    </row>
    <row r="8" ht="14.25" customHeight="1">
      <c r="B8" s="42"/>
      <c r="C8" s="119" t="s">
        <v>553</v>
      </c>
      <c r="D8" s="120"/>
      <c r="E8" s="45">
        <v>1.0</v>
      </c>
      <c r="F8" s="46">
        <f>SUM(E6:E8)</f>
        <v>62</v>
      </c>
      <c r="G8" s="119" t="s">
        <v>554</v>
      </c>
      <c r="H8" s="120"/>
      <c r="I8" s="45">
        <v>1.0</v>
      </c>
      <c r="J8" s="47">
        <f>SUM(I6:I8)</f>
        <v>70</v>
      </c>
      <c r="K8" s="119" t="s">
        <v>555</v>
      </c>
      <c r="L8" s="120"/>
      <c r="M8" s="45">
        <v>1.0</v>
      </c>
      <c r="N8" s="48">
        <f>SUM(M6:M8)</f>
        <v>52</v>
      </c>
      <c r="O8" s="119" t="s">
        <v>556</v>
      </c>
      <c r="P8" s="120"/>
      <c r="Q8" s="45">
        <v>1.0</v>
      </c>
      <c r="R8" s="48">
        <f>SUM(Q6:Q8)</f>
        <v>58</v>
      </c>
      <c r="S8" s="119" t="s">
        <v>557</v>
      </c>
      <c r="T8" s="120"/>
      <c r="U8" s="45">
        <v>1.0</v>
      </c>
      <c r="V8" s="48">
        <f>SUM(U6:U8)</f>
        <v>53</v>
      </c>
    </row>
    <row r="9" ht="14.25" customHeight="1">
      <c r="B9" s="49"/>
      <c r="C9" s="50" t="s">
        <v>558</v>
      </c>
      <c r="D9" s="34"/>
      <c r="E9" s="51">
        <v>30.0</v>
      </c>
      <c r="F9" s="52"/>
      <c r="G9" s="50" t="s">
        <v>559</v>
      </c>
      <c r="H9" s="34"/>
      <c r="I9" s="51">
        <v>49.0</v>
      </c>
      <c r="J9" s="53"/>
      <c r="K9" s="50" t="s">
        <v>560</v>
      </c>
      <c r="L9" s="34"/>
      <c r="M9" s="51">
        <v>19.0</v>
      </c>
      <c r="N9" s="54"/>
      <c r="O9" s="50" t="s">
        <v>542</v>
      </c>
      <c r="P9" s="34"/>
      <c r="Q9" s="51">
        <v>29.0</v>
      </c>
      <c r="R9" s="54"/>
      <c r="S9" s="50" t="s">
        <v>561</v>
      </c>
      <c r="T9" s="34"/>
      <c r="U9" s="51">
        <v>15.0</v>
      </c>
      <c r="V9" s="54"/>
    </row>
    <row r="10" ht="14.25" customHeight="1">
      <c r="B10" s="55"/>
      <c r="C10" s="56" t="s">
        <v>562</v>
      </c>
      <c r="D10" s="3"/>
      <c r="E10" s="57">
        <v>26.0</v>
      </c>
      <c r="F10" s="52"/>
      <c r="G10" s="56" t="s">
        <v>563</v>
      </c>
      <c r="H10" s="3"/>
      <c r="I10" s="57">
        <v>11.0</v>
      </c>
      <c r="J10" s="53"/>
      <c r="K10" s="56" t="s">
        <v>564</v>
      </c>
      <c r="L10" s="3"/>
      <c r="M10" s="57">
        <v>14.0</v>
      </c>
      <c r="N10" s="54"/>
      <c r="O10" s="56" t="s">
        <v>565</v>
      </c>
      <c r="P10" s="3"/>
      <c r="Q10" s="57">
        <v>20.0</v>
      </c>
      <c r="R10" s="54"/>
      <c r="S10" s="56" t="s">
        <v>566</v>
      </c>
      <c r="T10" s="3"/>
      <c r="U10" s="57">
        <v>23.0</v>
      </c>
      <c r="V10" s="54"/>
    </row>
    <row r="11" ht="14.25" customHeight="1">
      <c r="B11" s="55"/>
      <c r="C11" s="56" t="s">
        <v>567</v>
      </c>
      <c r="D11" s="3"/>
      <c r="E11" s="57">
        <v>2.0</v>
      </c>
      <c r="F11" s="52"/>
      <c r="G11" s="56" t="s">
        <v>568</v>
      </c>
      <c r="H11" s="3"/>
      <c r="I11" s="57">
        <v>14.0</v>
      </c>
      <c r="J11" s="53"/>
      <c r="K11" s="56" t="s">
        <v>569</v>
      </c>
      <c r="L11" s="3"/>
      <c r="M11" s="57">
        <v>4.0</v>
      </c>
      <c r="N11" s="54"/>
      <c r="O11" s="56" t="s">
        <v>570</v>
      </c>
      <c r="P11" s="3"/>
      <c r="Q11" s="57">
        <v>22.0</v>
      </c>
      <c r="R11" s="54"/>
      <c r="S11" s="56" t="s">
        <v>571</v>
      </c>
      <c r="T11" s="3"/>
      <c r="U11" s="57">
        <v>24.0</v>
      </c>
      <c r="V11" s="54"/>
    </row>
    <row r="12" ht="14.25" customHeight="1">
      <c r="B12" s="58" t="s">
        <v>54</v>
      </c>
      <c r="C12" s="56" t="s">
        <v>572</v>
      </c>
      <c r="D12" s="3"/>
      <c r="E12" s="57">
        <v>15.0</v>
      </c>
      <c r="F12" s="52"/>
      <c r="G12" s="56" t="s">
        <v>573</v>
      </c>
      <c r="H12" s="3"/>
      <c r="I12" s="57">
        <v>6.0</v>
      </c>
      <c r="J12" s="53"/>
      <c r="K12" s="56" t="s">
        <v>574</v>
      </c>
      <c r="L12" s="3"/>
      <c r="M12" s="57">
        <v>15.0</v>
      </c>
      <c r="N12" s="54"/>
      <c r="O12" s="56" t="s">
        <v>575</v>
      </c>
      <c r="P12" s="3"/>
      <c r="Q12" s="57">
        <v>4.0</v>
      </c>
      <c r="R12" s="54"/>
      <c r="S12" s="56" t="s">
        <v>576</v>
      </c>
      <c r="T12" s="3"/>
      <c r="U12" s="57">
        <v>1.0</v>
      </c>
      <c r="V12" s="54"/>
    </row>
    <row r="13" ht="14.25" customHeight="1">
      <c r="B13" s="55"/>
      <c r="C13" s="56" t="s">
        <v>577</v>
      </c>
      <c r="D13" s="3"/>
      <c r="E13" s="57">
        <v>1.0</v>
      </c>
      <c r="F13" s="52"/>
      <c r="G13" s="56" t="s">
        <v>578</v>
      </c>
      <c r="H13" s="3"/>
      <c r="I13" s="57">
        <v>1.0</v>
      </c>
      <c r="J13" s="53"/>
      <c r="K13" s="56" t="s">
        <v>579</v>
      </c>
      <c r="L13" s="3"/>
      <c r="M13" s="57">
        <v>3.0</v>
      </c>
      <c r="N13" s="54"/>
      <c r="O13" s="56" t="s">
        <v>580</v>
      </c>
      <c r="P13" s="3"/>
      <c r="Q13" s="57">
        <v>8.0</v>
      </c>
      <c r="R13" s="54"/>
      <c r="S13" s="56" t="s">
        <v>581</v>
      </c>
      <c r="T13" s="3"/>
      <c r="U13" s="57">
        <v>15.0</v>
      </c>
      <c r="V13" s="54"/>
    </row>
    <row r="14" ht="14.25" customHeight="1">
      <c r="B14" s="55"/>
      <c r="C14" s="56" t="s">
        <v>582</v>
      </c>
      <c r="D14" s="3"/>
      <c r="E14" s="57">
        <v>8.0</v>
      </c>
      <c r="F14" s="52"/>
      <c r="G14" s="56" t="s">
        <v>583</v>
      </c>
      <c r="H14" s="3"/>
      <c r="I14" s="57">
        <v>3.0</v>
      </c>
      <c r="J14" s="53"/>
      <c r="K14" s="56" t="s">
        <v>584</v>
      </c>
      <c r="L14" s="3"/>
      <c r="M14" s="57">
        <v>2.0</v>
      </c>
      <c r="N14" s="54"/>
      <c r="O14" s="56" t="s">
        <v>585</v>
      </c>
      <c r="P14" s="3"/>
      <c r="Q14" s="57">
        <v>1.0</v>
      </c>
      <c r="R14" s="54"/>
      <c r="S14" s="56" t="s">
        <v>586</v>
      </c>
      <c r="T14" s="3"/>
      <c r="U14" s="57">
        <v>8.0</v>
      </c>
      <c r="V14" s="54"/>
    </row>
    <row r="15" ht="14.25" customHeight="1">
      <c r="B15" s="55"/>
      <c r="C15" s="56" t="s">
        <v>587</v>
      </c>
      <c r="D15" s="3"/>
      <c r="E15" s="57">
        <v>5.0</v>
      </c>
      <c r="F15" s="52"/>
      <c r="G15" s="56" t="s">
        <v>588</v>
      </c>
      <c r="H15" s="3"/>
      <c r="I15" s="57">
        <v>1.0</v>
      </c>
      <c r="J15" s="53"/>
      <c r="K15" s="56" t="s">
        <v>589</v>
      </c>
      <c r="L15" s="3"/>
      <c r="M15" s="57">
        <v>2.0</v>
      </c>
      <c r="N15" s="54"/>
      <c r="O15" s="56" t="s">
        <v>590</v>
      </c>
      <c r="P15" s="3"/>
      <c r="Q15" s="57">
        <v>1.0</v>
      </c>
      <c r="R15" s="54"/>
      <c r="S15" s="56" t="s">
        <v>591</v>
      </c>
      <c r="T15" s="3"/>
      <c r="U15" s="57">
        <v>1.0</v>
      </c>
      <c r="V15" s="54"/>
    </row>
    <row r="16" ht="14.25" customHeight="1">
      <c r="B16" s="59"/>
      <c r="C16" s="60" t="s">
        <v>592</v>
      </c>
      <c r="D16" s="61"/>
      <c r="E16" s="62">
        <v>1.0</v>
      </c>
      <c r="F16" s="63">
        <f>SUM(E9:E16)</f>
        <v>88</v>
      </c>
      <c r="G16" s="60" t="s">
        <v>593</v>
      </c>
      <c r="H16" s="61"/>
      <c r="I16" s="62">
        <v>1.0</v>
      </c>
      <c r="J16" s="64">
        <f>SUM(I9:I16)</f>
        <v>86</v>
      </c>
      <c r="K16" s="60" t="s">
        <v>594</v>
      </c>
      <c r="L16" s="61"/>
      <c r="M16" s="62">
        <v>1.0</v>
      </c>
      <c r="N16" s="65">
        <f>SUM(M9:M16)</f>
        <v>60</v>
      </c>
      <c r="O16" s="60" t="s">
        <v>595</v>
      </c>
      <c r="P16" s="61"/>
      <c r="Q16" s="62">
        <v>1.0</v>
      </c>
      <c r="R16" s="65">
        <f>SUM(Q9:Q16)</f>
        <v>86</v>
      </c>
      <c r="S16" s="60" t="s">
        <v>596</v>
      </c>
      <c r="T16" s="61"/>
      <c r="U16" s="62">
        <v>1.0</v>
      </c>
      <c r="V16" s="65">
        <f>SUM(U9:U16)</f>
        <v>88</v>
      </c>
    </row>
    <row r="17" ht="14.25" customHeight="1">
      <c r="B17" s="66"/>
      <c r="C17" s="67" t="s">
        <v>597</v>
      </c>
      <c r="D17" s="68"/>
      <c r="E17" s="69">
        <v>33.0</v>
      </c>
      <c r="F17" s="70"/>
      <c r="G17" s="67" t="s">
        <v>598</v>
      </c>
      <c r="H17" s="68"/>
      <c r="I17" s="69">
        <v>64.0</v>
      </c>
      <c r="J17" s="71"/>
      <c r="K17" s="67" t="s">
        <v>599</v>
      </c>
      <c r="L17" s="68"/>
      <c r="M17" s="69">
        <v>70.0</v>
      </c>
      <c r="N17" s="72"/>
      <c r="O17" s="67" t="s">
        <v>600</v>
      </c>
      <c r="P17" s="68"/>
      <c r="Q17" s="69">
        <v>15.0</v>
      </c>
      <c r="R17" s="72"/>
      <c r="S17" s="67" t="s">
        <v>601</v>
      </c>
      <c r="T17" s="68"/>
      <c r="U17" s="69">
        <v>70.0</v>
      </c>
      <c r="V17" s="72"/>
    </row>
    <row r="18" ht="14.25" customHeight="1">
      <c r="B18" s="73"/>
      <c r="C18" s="74" t="s">
        <v>602</v>
      </c>
      <c r="D18" s="3"/>
      <c r="E18" s="75">
        <v>36.0</v>
      </c>
      <c r="F18" s="70"/>
      <c r="G18" s="74" t="s">
        <v>603</v>
      </c>
      <c r="H18" s="3"/>
      <c r="I18" s="75">
        <v>28.0</v>
      </c>
      <c r="J18" s="71"/>
      <c r="K18" s="74" t="s">
        <v>604</v>
      </c>
      <c r="L18" s="3"/>
      <c r="M18" s="75">
        <v>32.0</v>
      </c>
      <c r="N18" s="72"/>
      <c r="O18" s="74" t="s">
        <v>605</v>
      </c>
      <c r="P18" s="3"/>
      <c r="Q18" s="75">
        <v>8.0</v>
      </c>
      <c r="R18" s="72"/>
      <c r="S18" s="74" t="s">
        <v>606</v>
      </c>
      <c r="T18" s="3"/>
      <c r="U18" s="75">
        <v>17.0</v>
      </c>
      <c r="V18" s="72"/>
    </row>
    <row r="19" ht="14.25" customHeight="1">
      <c r="B19" s="73"/>
      <c r="C19" s="74" t="s">
        <v>607</v>
      </c>
      <c r="D19" s="3"/>
      <c r="E19" s="75">
        <v>12.0</v>
      </c>
      <c r="F19" s="70"/>
      <c r="G19" s="74" t="s">
        <v>608</v>
      </c>
      <c r="H19" s="3"/>
      <c r="I19" s="75">
        <v>4.0</v>
      </c>
      <c r="J19" s="71"/>
      <c r="K19" s="74" t="s">
        <v>609</v>
      </c>
      <c r="L19" s="3"/>
      <c r="M19" s="75">
        <v>10.0</v>
      </c>
      <c r="N19" s="72"/>
      <c r="O19" s="74" t="s">
        <v>610</v>
      </c>
      <c r="P19" s="3"/>
      <c r="Q19" s="75">
        <v>30.0</v>
      </c>
      <c r="R19" s="72"/>
      <c r="S19" s="74" t="s">
        <v>611</v>
      </c>
      <c r="T19" s="3"/>
      <c r="U19" s="75">
        <v>7.0</v>
      </c>
      <c r="V19" s="72"/>
    </row>
    <row r="20" ht="14.25" customHeight="1">
      <c r="B20" s="76" t="s">
        <v>95</v>
      </c>
      <c r="C20" s="74" t="s">
        <v>612</v>
      </c>
      <c r="D20" s="3"/>
      <c r="E20" s="75">
        <v>29.0</v>
      </c>
      <c r="F20" s="70"/>
      <c r="G20" s="74" t="s">
        <v>613</v>
      </c>
      <c r="H20" s="3"/>
      <c r="I20" s="75">
        <v>5.0</v>
      </c>
      <c r="J20" s="71"/>
      <c r="K20" s="74" t="s">
        <v>614</v>
      </c>
      <c r="L20" s="3"/>
      <c r="M20" s="75">
        <v>2.0</v>
      </c>
      <c r="N20" s="72"/>
      <c r="O20" s="74" t="s">
        <v>615</v>
      </c>
      <c r="P20" s="3"/>
      <c r="Q20" s="75">
        <v>5.0</v>
      </c>
      <c r="R20" s="72"/>
      <c r="S20" s="74" t="s">
        <v>616</v>
      </c>
      <c r="T20" s="3"/>
      <c r="U20" s="75">
        <v>6.0</v>
      </c>
      <c r="V20" s="72"/>
    </row>
    <row r="21" ht="14.25" customHeight="1">
      <c r="B21" s="73"/>
      <c r="C21" s="74" t="s">
        <v>617</v>
      </c>
      <c r="D21" s="3"/>
      <c r="E21" s="75">
        <v>2.0</v>
      </c>
      <c r="F21" s="70"/>
      <c r="G21" s="74" t="s">
        <v>618</v>
      </c>
      <c r="H21" s="3"/>
      <c r="I21" s="75">
        <v>5.0</v>
      </c>
      <c r="J21" s="71"/>
      <c r="K21" s="74" t="s">
        <v>619</v>
      </c>
      <c r="L21" s="3"/>
      <c r="M21" s="75">
        <v>4.0</v>
      </c>
      <c r="N21" s="72"/>
      <c r="O21" s="74" t="s">
        <v>620</v>
      </c>
      <c r="P21" s="3"/>
      <c r="Q21" s="75">
        <v>13.0</v>
      </c>
      <c r="R21" s="72"/>
      <c r="S21" s="74" t="s">
        <v>621</v>
      </c>
      <c r="T21" s="3"/>
      <c r="U21" s="75">
        <v>3.0</v>
      </c>
      <c r="V21" s="72"/>
    </row>
    <row r="22" ht="14.25" customHeight="1">
      <c r="B22" s="73"/>
      <c r="C22" s="74" t="s">
        <v>622</v>
      </c>
      <c r="D22" s="3"/>
      <c r="E22" s="75">
        <v>7.0</v>
      </c>
      <c r="F22" s="70"/>
      <c r="G22" s="74" t="s">
        <v>623</v>
      </c>
      <c r="H22" s="3"/>
      <c r="I22" s="75">
        <v>3.0</v>
      </c>
      <c r="J22" s="71"/>
      <c r="K22" s="74" t="s">
        <v>624</v>
      </c>
      <c r="L22" s="3"/>
      <c r="M22" s="75">
        <v>1.0</v>
      </c>
      <c r="N22" s="72"/>
      <c r="O22" s="74" t="s">
        <v>625</v>
      </c>
      <c r="P22" s="3"/>
      <c r="Q22" s="75">
        <v>3.0</v>
      </c>
      <c r="R22" s="72"/>
      <c r="S22" s="74" t="s">
        <v>626</v>
      </c>
      <c r="T22" s="3"/>
      <c r="U22" s="75">
        <v>6.0</v>
      </c>
      <c r="V22" s="72"/>
    </row>
    <row r="23" ht="14.25" customHeight="1">
      <c r="B23" s="73"/>
      <c r="C23" s="74" t="s">
        <v>627</v>
      </c>
      <c r="D23" s="3"/>
      <c r="E23" s="75">
        <v>1.0</v>
      </c>
      <c r="F23" s="70"/>
      <c r="G23" s="74" t="s">
        <v>628</v>
      </c>
      <c r="H23" s="3"/>
      <c r="I23" s="75">
        <v>1.0</v>
      </c>
      <c r="J23" s="71"/>
      <c r="K23" s="74" t="s">
        <v>629</v>
      </c>
      <c r="L23" s="3"/>
      <c r="M23" s="75">
        <v>2.0</v>
      </c>
      <c r="N23" s="72"/>
      <c r="O23" s="74" t="s">
        <v>630</v>
      </c>
      <c r="P23" s="3"/>
      <c r="Q23" s="75">
        <v>2.0</v>
      </c>
      <c r="R23" s="72"/>
      <c r="S23" s="74" t="s">
        <v>631</v>
      </c>
      <c r="T23" s="3"/>
      <c r="U23" s="75">
        <v>1.0</v>
      </c>
      <c r="V23" s="72"/>
    </row>
    <row r="24" ht="14.25" customHeight="1">
      <c r="B24" s="77"/>
      <c r="C24" s="78" t="s">
        <v>632</v>
      </c>
      <c r="D24" s="61"/>
      <c r="E24" s="79">
        <v>1.0</v>
      </c>
      <c r="F24" s="80">
        <f>SUM(E17:E24)</f>
        <v>121</v>
      </c>
      <c r="G24" s="78" t="s">
        <v>633</v>
      </c>
      <c r="H24" s="61"/>
      <c r="I24" s="79">
        <v>1.0</v>
      </c>
      <c r="J24" s="81">
        <f>SUM(I17:I24)</f>
        <v>111</v>
      </c>
      <c r="K24" s="78" t="s">
        <v>634</v>
      </c>
      <c r="L24" s="61"/>
      <c r="M24" s="79">
        <v>1.0</v>
      </c>
      <c r="N24" s="82">
        <f>SUM(M17:M24)</f>
        <v>122</v>
      </c>
      <c r="O24" s="78" t="s">
        <v>635</v>
      </c>
      <c r="P24" s="61"/>
      <c r="Q24" s="79">
        <v>3.0</v>
      </c>
      <c r="R24" s="82">
        <f>SUM(Q17:Q24)</f>
        <v>79</v>
      </c>
      <c r="S24" s="78" t="s">
        <v>636</v>
      </c>
      <c r="T24" s="61"/>
      <c r="U24" s="79">
        <v>1.0</v>
      </c>
      <c r="V24" s="82">
        <f>SUM(U17:U24)</f>
        <v>111</v>
      </c>
    </row>
    <row r="25" ht="14.25" customHeight="1">
      <c r="B25" s="83"/>
      <c r="C25" s="84" t="s">
        <v>637</v>
      </c>
      <c r="D25" s="68"/>
      <c r="E25" s="85">
        <v>48.0</v>
      </c>
      <c r="F25" s="86"/>
      <c r="G25" s="84" t="s">
        <v>638</v>
      </c>
      <c r="H25" s="68"/>
      <c r="I25" s="85">
        <v>177.0</v>
      </c>
      <c r="J25" s="87"/>
      <c r="K25" s="84" t="s">
        <v>639</v>
      </c>
      <c r="L25" s="68"/>
      <c r="M25" s="85">
        <v>210.0</v>
      </c>
      <c r="N25" s="88"/>
      <c r="O25" s="84" t="s">
        <v>640</v>
      </c>
      <c r="P25" s="68"/>
      <c r="Q25" s="85">
        <v>102.0</v>
      </c>
      <c r="R25" s="88"/>
      <c r="S25" s="84" t="s">
        <v>641</v>
      </c>
      <c r="T25" s="68"/>
      <c r="U25" s="85">
        <v>111.0</v>
      </c>
      <c r="V25" s="88"/>
    </row>
    <row r="26" ht="14.25" customHeight="1">
      <c r="B26" s="89"/>
      <c r="C26" s="90" t="s">
        <v>642</v>
      </c>
      <c r="D26" s="3"/>
      <c r="E26" s="91">
        <v>120.0</v>
      </c>
      <c r="F26" s="86"/>
      <c r="G26" s="90" t="s">
        <v>643</v>
      </c>
      <c r="H26" s="3"/>
      <c r="I26" s="91">
        <v>1.0</v>
      </c>
      <c r="J26" s="87"/>
      <c r="K26" s="90" t="s">
        <v>644</v>
      </c>
      <c r="L26" s="3"/>
      <c r="M26" s="91">
        <v>16.0</v>
      </c>
      <c r="N26" s="88"/>
      <c r="O26" s="90" t="s">
        <v>645</v>
      </c>
      <c r="P26" s="3"/>
      <c r="Q26" s="91">
        <v>46.0</v>
      </c>
      <c r="R26" s="88"/>
      <c r="S26" s="90" t="s">
        <v>646</v>
      </c>
      <c r="T26" s="3"/>
      <c r="U26" s="91">
        <v>12.0</v>
      </c>
      <c r="V26" s="88"/>
    </row>
    <row r="27" ht="14.25" customHeight="1">
      <c r="B27" s="92" t="s">
        <v>131</v>
      </c>
      <c r="C27" s="90" t="s">
        <v>647</v>
      </c>
      <c r="D27" s="3"/>
      <c r="E27" s="91">
        <v>57.0</v>
      </c>
      <c r="F27" s="86"/>
      <c r="G27" s="90" t="s">
        <v>648</v>
      </c>
      <c r="H27" s="3"/>
      <c r="I27" s="91">
        <v>35.0</v>
      </c>
      <c r="J27" s="87"/>
      <c r="K27" s="90" t="s">
        <v>649</v>
      </c>
      <c r="L27" s="3"/>
      <c r="M27" s="91">
        <v>14.0</v>
      </c>
      <c r="N27" s="88"/>
      <c r="O27" s="90" t="s">
        <v>650</v>
      </c>
      <c r="P27" s="3"/>
      <c r="Q27" s="91">
        <v>58.0</v>
      </c>
      <c r="R27" s="88"/>
      <c r="S27" s="90" t="s">
        <v>651</v>
      </c>
      <c r="T27" s="3"/>
      <c r="U27" s="91">
        <v>85.0</v>
      </c>
      <c r="V27" s="88"/>
    </row>
    <row r="28" ht="14.25" customHeight="1">
      <c r="B28" s="89"/>
      <c r="C28" s="90" t="s">
        <v>652</v>
      </c>
      <c r="D28" s="3"/>
      <c r="E28" s="91">
        <v>1.0</v>
      </c>
      <c r="F28" s="86"/>
      <c r="G28" s="90" t="s">
        <v>653</v>
      </c>
      <c r="H28" s="3"/>
      <c r="I28" s="91">
        <v>14.0</v>
      </c>
      <c r="J28" s="87"/>
      <c r="K28" s="90" t="s">
        <v>654</v>
      </c>
      <c r="L28" s="3"/>
      <c r="M28" s="91">
        <v>15.0</v>
      </c>
      <c r="N28" s="88"/>
      <c r="O28" s="90" t="s">
        <v>655</v>
      </c>
      <c r="P28" s="3"/>
      <c r="Q28" s="91">
        <v>14.0</v>
      </c>
      <c r="R28" s="88"/>
      <c r="S28" s="90" t="s">
        <v>656</v>
      </c>
      <c r="T28" s="3"/>
      <c r="U28" s="91">
        <v>20.0</v>
      </c>
      <c r="V28" s="88"/>
    </row>
    <row r="29" ht="14.25" customHeight="1">
      <c r="B29" s="89"/>
      <c r="C29" s="90" t="s">
        <v>657</v>
      </c>
      <c r="D29" s="3"/>
      <c r="E29" s="91">
        <v>2.0</v>
      </c>
      <c r="F29" s="86"/>
      <c r="G29" s="90" t="s">
        <v>658</v>
      </c>
      <c r="H29" s="3"/>
      <c r="I29" s="91">
        <v>1.0</v>
      </c>
      <c r="J29" s="87"/>
      <c r="K29" s="90" t="s">
        <v>659</v>
      </c>
      <c r="L29" s="3"/>
      <c r="M29" s="91">
        <v>9.0</v>
      </c>
      <c r="N29" s="88"/>
      <c r="O29" s="90" t="s">
        <v>660</v>
      </c>
      <c r="P29" s="3"/>
      <c r="Q29" s="91">
        <v>29.0</v>
      </c>
      <c r="R29" s="88"/>
      <c r="S29" s="90" t="s">
        <v>661</v>
      </c>
      <c r="T29" s="3"/>
      <c r="U29" s="91">
        <v>18.0</v>
      </c>
      <c r="V29" s="88"/>
    </row>
    <row r="30" ht="14.25" customHeight="1">
      <c r="B30" s="93"/>
      <c r="C30" s="94" t="s">
        <v>662</v>
      </c>
      <c r="D30" s="61"/>
      <c r="E30" s="95">
        <v>1.0</v>
      </c>
      <c r="F30" s="96">
        <f>SUM(E25:E30)</f>
        <v>229</v>
      </c>
      <c r="G30" s="94" t="s">
        <v>663</v>
      </c>
      <c r="H30" s="61"/>
      <c r="I30" s="95">
        <v>3.0</v>
      </c>
      <c r="J30" s="97">
        <f>SUM(I25:I30)</f>
        <v>231</v>
      </c>
      <c r="K30" s="94" t="s">
        <v>664</v>
      </c>
      <c r="L30" s="61"/>
      <c r="M30" s="95">
        <v>1.0</v>
      </c>
      <c r="N30" s="98">
        <f>SUM(M25:M30)</f>
        <v>265</v>
      </c>
      <c r="O30" s="94" t="s">
        <v>665</v>
      </c>
      <c r="P30" s="61"/>
      <c r="Q30" s="95">
        <v>23.0</v>
      </c>
      <c r="R30" s="98">
        <f>SUM(Q25:Q30)</f>
        <v>272</v>
      </c>
      <c r="S30" s="94" t="s">
        <v>666</v>
      </c>
      <c r="T30" s="61"/>
      <c r="U30" s="95">
        <v>1.0</v>
      </c>
      <c r="V30" s="98">
        <f>SUM(U25:U30)</f>
        <v>247</v>
      </c>
    </row>
    <row r="31" ht="14.25" customHeight="1">
      <c r="C31" s="99" t="s">
        <v>152</v>
      </c>
      <c r="D31" s="100"/>
      <c r="E31" s="28">
        <f>SUM(E6:E30)</f>
        <v>500</v>
      </c>
      <c r="F31" s="101"/>
      <c r="G31" s="99" t="s">
        <v>152</v>
      </c>
      <c r="H31" s="100"/>
      <c r="I31" s="28">
        <f>SUM(I6:I30)</f>
        <v>498</v>
      </c>
      <c r="J31" s="101"/>
      <c r="K31" s="23" t="s">
        <v>152</v>
      </c>
      <c r="L31" s="22"/>
      <c r="M31" s="102">
        <f>SUM(M6:M30)</f>
        <v>499</v>
      </c>
      <c r="N31" s="101"/>
      <c r="O31" s="23" t="s">
        <v>152</v>
      </c>
      <c r="P31" s="22"/>
      <c r="Q31" s="102">
        <f>SUM(Q6:Q30)</f>
        <v>495</v>
      </c>
      <c r="R31" s="101"/>
      <c r="S31" s="23" t="s">
        <v>152</v>
      </c>
      <c r="T31" s="22"/>
      <c r="U31" s="102">
        <f>SUM(U6:U30)</f>
        <v>499</v>
      </c>
      <c r="V31" s="101"/>
    </row>
    <row r="32" ht="14.25" customHeight="1">
      <c r="C32" s="23" t="s">
        <v>153</v>
      </c>
      <c r="D32" s="22"/>
      <c r="E32" s="121">
        <f>500-E31</f>
        <v>0</v>
      </c>
      <c r="F32" s="103"/>
      <c r="G32" s="23" t="s">
        <v>153</v>
      </c>
      <c r="H32" s="22"/>
      <c r="I32" s="102">
        <f>500-I31</f>
        <v>2</v>
      </c>
      <c r="J32" s="103"/>
      <c r="K32" s="23" t="s">
        <v>153</v>
      </c>
      <c r="L32" s="22"/>
      <c r="M32" s="102">
        <f>500-M31</f>
        <v>1</v>
      </c>
      <c r="N32" s="103"/>
      <c r="O32" s="23" t="s">
        <v>153</v>
      </c>
      <c r="P32" s="22"/>
      <c r="Q32" s="102">
        <f>500-Q31</f>
        <v>5</v>
      </c>
      <c r="R32" s="103"/>
      <c r="S32" s="23" t="s">
        <v>153</v>
      </c>
      <c r="T32" s="22"/>
      <c r="U32" s="102">
        <f>500-U31</f>
        <v>1</v>
      </c>
      <c r="V32" s="103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C39" s="24" t="s">
        <v>667</v>
      </c>
      <c r="D39" s="21"/>
      <c r="E39" s="21"/>
      <c r="F39" s="22"/>
      <c r="G39" s="24" t="s">
        <v>668</v>
      </c>
      <c r="H39" s="21"/>
      <c r="I39" s="21"/>
      <c r="J39" s="22"/>
      <c r="K39" s="24" t="s">
        <v>669</v>
      </c>
      <c r="L39" s="21"/>
      <c r="M39" s="21"/>
      <c r="N39" s="22"/>
      <c r="O39" s="24" t="s">
        <v>670</v>
      </c>
      <c r="P39" s="21"/>
      <c r="Q39" s="21"/>
      <c r="R39" s="22"/>
      <c r="S39" s="24" t="s">
        <v>671</v>
      </c>
      <c r="T39" s="21"/>
      <c r="U39" s="21"/>
      <c r="V39" s="22"/>
    </row>
    <row r="40" ht="14.25" customHeight="1">
      <c r="C40" s="29" t="s">
        <v>20</v>
      </c>
      <c r="D40" s="122"/>
      <c r="E40" s="102" t="s">
        <v>21</v>
      </c>
      <c r="F40" s="102" t="s">
        <v>22</v>
      </c>
      <c r="G40" s="29" t="s">
        <v>20</v>
      </c>
      <c r="H40" s="30"/>
      <c r="I40" s="31" t="s">
        <v>21</v>
      </c>
      <c r="J40" s="28" t="s">
        <v>22</v>
      </c>
      <c r="K40" s="29" t="s">
        <v>20</v>
      </c>
      <c r="L40" s="30"/>
      <c r="M40" s="31" t="s">
        <v>21</v>
      </c>
      <c r="N40" s="28" t="s">
        <v>22</v>
      </c>
      <c r="O40" s="29" t="s">
        <v>20</v>
      </c>
      <c r="P40" s="30"/>
      <c r="Q40" s="31" t="s">
        <v>21</v>
      </c>
      <c r="R40" s="28" t="s">
        <v>22</v>
      </c>
      <c r="S40" s="29" t="s">
        <v>20</v>
      </c>
      <c r="T40" s="30"/>
      <c r="U40" s="31" t="s">
        <v>21</v>
      </c>
      <c r="V40" s="28" t="s">
        <v>22</v>
      </c>
    </row>
    <row r="41" ht="14.25" customHeight="1">
      <c r="B41" s="104"/>
      <c r="C41" s="33" t="s">
        <v>672</v>
      </c>
      <c r="D41" s="34"/>
      <c r="E41" s="123">
        <v>46.0</v>
      </c>
      <c r="F41" s="124"/>
      <c r="G41" s="33" t="s">
        <v>673</v>
      </c>
      <c r="H41" s="34"/>
      <c r="I41" s="35">
        <v>18.0</v>
      </c>
      <c r="J41" s="38"/>
      <c r="K41" s="33" t="s">
        <v>674</v>
      </c>
      <c r="L41" s="34"/>
      <c r="M41" s="35">
        <v>15.0</v>
      </c>
      <c r="N41" s="38"/>
      <c r="O41" s="33" t="s">
        <v>675</v>
      </c>
      <c r="P41" s="34"/>
      <c r="Q41" s="35">
        <v>33.0</v>
      </c>
      <c r="R41" s="38"/>
      <c r="S41" s="33" t="s">
        <v>676</v>
      </c>
      <c r="T41" s="34"/>
      <c r="U41" s="35">
        <v>11.0</v>
      </c>
      <c r="V41" s="38"/>
    </row>
    <row r="42" ht="14.25" customHeight="1">
      <c r="B42" s="105" t="s">
        <v>28</v>
      </c>
      <c r="C42" s="33" t="s">
        <v>677</v>
      </c>
      <c r="D42" s="34"/>
      <c r="E42" s="41">
        <v>15.0</v>
      </c>
      <c r="F42" s="38"/>
      <c r="G42" s="33" t="s">
        <v>678</v>
      </c>
      <c r="H42" s="34"/>
      <c r="I42" s="41">
        <v>3.0</v>
      </c>
      <c r="J42" s="38"/>
      <c r="K42" s="33" t="s">
        <v>679</v>
      </c>
      <c r="L42" s="34"/>
      <c r="M42" s="41">
        <v>5.0</v>
      </c>
      <c r="N42" s="38"/>
      <c r="O42" s="33" t="s">
        <v>680</v>
      </c>
      <c r="P42" s="34"/>
      <c r="Q42" s="41">
        <v>1.0</v>
      </c>
      <c r="R42" s="38"/>
      <c r="S42" s="33" t="s">
        <v>681</v>
      </c>
      <c r="T42" s="34"/>
      <c r="U42" s="41">
        <v>8.0</v>
      </c>
      <c r="V42" s="38"/>
    </row>
    <row r="43" ht="14.25" customHeight="1">
      <c r="B43" s="106"/>
      <c r="C43" s="119" t="s">
        <v>682</v>
      </c>
      <c r="D43" s="120"/>
      <c r="E43" s="45">
        <v>1.0</v>
      </c>
      <c r="F43" s="48">
        <f>SUM(E41:E43)</f>
        <v>62</v>
      </c>
      <c r="G43" s="119" t="s">
        <v>683</v>
      </c>
      <c r="H43" s="120"/>
      <c r="I43" s="45">
        <v>2.0</v>
      </c>
      <c r="J43" s="48">
        <f>SUM(I41:I43)</f>
        <v>23</v>
      </c>
      <c r="K43" s="119" t="s">
        <v>684</v>
      </c>
      <c r="L43" s="120"/>
      <c r="M43" s="45">
        <v>10.0</v>
      </c>
      <c r="N43" s="48">
        <f>SUM(M41:M43)</f>
        <v>30</v>
      </c>
      <c r="O43" s="119" t="s">
        <v>685</v>
      </c>
      <c r="P43" s="120"/>
      <c r="Q43" s="45">
        <v>2.0</v>
      </c>
      <c r="R43" s="48">
        <f>SUM(Q41:Q43)</f>
        <v>36</v>
      </c>
      <c r="S43" s="119" t="s">
        <v>686</v>
      </c>
      <c r="T43" s="120"/>
      <c r="U43" s="45">
        <v>1.0</v>
      </c>
      <c r="V43" s="48">
        <f>SUM(U41:U43)</f>
        <v>20</v>
      </c>
    </row>
    <row r="44" ht="14.25" customHeight="1">
      <c r="B44" s="107"/>
      <c r="C44" s="50" t="s">
        <v>687</v>
      </c>
      <c r="D44" s="34"/>
      <c r="E44" s="57">
        <v>27.0</v>
      </c>
      <c r="F44" s="54"/>
      <c r="G44" s="50" t="s">
        <v>688</v>
      </c>
      <c r="H44" s="34"/>
      <c r="I44" s="51">
        <v>15.0</v>
      </c>
      <c r="J44" s="54"/>
      <c r="K44" s="50" t="s">
        <v>689</v>
      </c>
      <c r="L44" s="34"/>
      <c r="M44" s="51">
        <v>19.0</v>
      </c>
      <c r="N44" s="54"/>
      <c r="O44" s="50" t="s">
        <v>690</v>
      </c>
      <c r="P44" s="34"/>
      <c r="Q44" s="51">
        <v>30.0</v>
      </c>
      <c r="R44" s="54"/>
      <c r="S44" s="50" t="s">
        <v>691</v>
      </c>
      <c r="T44" s="34"/>
      <c r="U44" s="51">
        <v>21.0</v>
      </c>
      <c r="V44" s="54"/>
    </row>
    <row r="45" ht="14.25" customHeight="1">
      <c r="B45" s="108"/>
      <c r="C45" s="56" t="s">
        <v>692</v>
      </c>
      <c r="D45" s="3"/>
      <c r="E45" s="57">
        <v>6.0</v>
      </c>
      <c r="F45" s="54"/>
      <c r="G45" s="56" t="s">
        <v>693</v>
      </c>
      <c r="H45" s="3"/>
      <c r="I45" s="57">
        <v>8.0</v>
      </c>
      <c r="J45" s="54"/>
      <c r="K45" s="56" t="s">
        <v>694</v>
      </c>
      <c r="L45" s="3"/>
      <c r="M45" s="57">
        <v>10.0</v>
      </c>
      <c r="N45" s="54"/>
      <c r="O45" s="56" t="s">
        <v>695</v>
      </c>
      <c r="P45" s="3"/>
      <c r="Q45" s="57">
        <v>9.0</v>
      </c>
      <c r="R45" s="54"/>
      <c r="S45" s="56" t="s">
        <v>696</v>
      </c>
      <c r="T45" s="3"/>
      <c r="U45" s="51">
        <v>21.0</v>
      </c>
      <c r="V45" s="54"/>
    </row>
    <row r="46" ht="14.25" customHeight="1">
      <c r="B46" s="108"/>
      <c r="C46" s="56" t="s">
        <v>697</v>
      </c>
      <c r="D46" s="3"/>
      <c r="E46" s="57">
        <v>29.0</v>
      </c>
      <c r="F46" s="54"/>
      <c r="G46" s="56" t="s">
        <v>698</v>
      </c>
      <c r="H46" s="3"/>
      <c r="I46" s="57">
        <v>8.0</v>
      </c>
      <c r="J46" s="54"/>
      <c r="K46" s="56" t="s">
        <v>699</v>
      </c>
      <c r="L46" s="3"/>
      <c r="M46" s="57">
        <v>10.0</v>
      </c>
      <c r="N46" s="54"/>
      <c r="O46" s="56" t="s">
        <v>700</v>
      </c>
      <c r="P46" s="3"/>
      <c r="Q46" s="57">
        <v>9.0</v>
      </c>
      <c r="R46" s="54"/>
      <c r="S46" s="56" t="s">
        <v>701</v>
      </c>
      <c r="T46" s="3"/>
      <c r="U46" s="57">
        <v>7.0</v>
      </c>
      <c r="V46" s="54"/>
    </row>
    <row r="47" ht="14.25" customHeight="1">
      <c r="B47" s="109" t="s">
        <v>54</v>
      </c>
      <c r="C47" s="56" t="s">
        <v>702</v>
      </c>
      <c r="D47" s="3"/>
      <c r="E47" s="57">
        <v>7.0</v>
      </c>
      <c r="F47" s="54"/>
      <c r="G47" s="56" t="s">
        <v>703</v>
      </c>
      <c r="H47" s="3"/>
      <c r="I47" s="57">
        <v>2.0</v>
      </c>
      <c r="J47" s="54"/>
      <c r="K47" s="56" t="s">
        <v>704</v>
      </c>
      <c r="L47" s="3"/>
      <c r="M47" s="57">
        <v>4.0</v>
      </c>
      <c r="N47" s="54"/>
      <c r="O47" s="56" t="s">
        <v>705</v>
      </c>
      <c r="P47" s="3"/>
      <c r="Q47" s="57">
        <v>7.0</v>
      </c>
      <c r="R47" s="54"/>
      <c r="S47" s="56" t="s">
        <v>706</v>
      </c>
      <c r="T47" s="3"/>
      <c r="U47" s="57">
        <v>3.0</v>
      </c>
      <c r="V47" s="54"/>
    </row>
    <row r="48" ht="14.25" customHeight="1">
      <c r="B48" s="108"/>
      <c r="C48" s="56" t="s">
        <v>707</v>
      </c>
      <c r="D48" s="3"/>
      <c r="E48" s="57">
        <v>2.0</v>
      </c>
      <c r="F48" s="54"/>
      <c r="G48" s="56" t="s">
        <v>708</v>
      </c>
      <c r="H48" s="3"/>
      <c r="I48" s="57">
        <v>1.0</v>
      </c>
      <c r="J48" s="54"/>
      <c r="K48" s="56" t="s">
        <v>709</v>
      </c>
      <c r="L48" s="3"/>
      <c r="M48" s="57">
        <v>6.0</v>
      </c>
      <c r="N48" s="54"/>
      <c r="O48" s="56" t="s">
        <v>710</v>
      </c>
      <c r="P48" s="3"/>
      <c r="Q48" s="57">
        <v>1.0</v>
      </c>
      <c r="R48" s="54"/>
      <c r="S48" s="56" t="s">
        <v>711</v>
      </c>
      <c r="T48" s="3"/>
      <c r="U48" s="57">
        <v>1.0</v>
      </c>
      <c r="V48" s="54"/>
    </row>
    <row r="49" ht="14.25" customHeight="1">
      <c r="B49" s="108"/>
      <c r="C49" s="56" t="s">
        <v>712</v>
      </c>
      <c r="D49" s="3"/>
      <c r="E49" s="57">
        <v>4.0</v>
      </c>
      <c r="F49" s="54"/>
      <c r="G49" s="56" t="s">
        <v>713</v>
      </c>
      <c r="H49" s="3"/>
      <c r="I49" s="57">
        <v>4.0</v>
      </c>
      <c r="J49" s="54"/>
      <c r="K49" s="56" t="s">
        <v>714</v>
      </c>
      <c r="L49" s="3"/>
      <c r="M49" s="57">
        <v>1.0</v>
      </c>
      <c r="N49" s="54"/>
      <c r="O49" s="56" t="s">
        <v>715</v>
      </c>
      <c r="P49" s="3"/>
      <c r="Q49" s="57">
        <v>6.0</v>
      </c>
      <c r="R49" s="54"/>
      <c r="S49" s="56" t="s">
        <v>716</v>
      </c>
      <c r="T49" s="3"/>
      <c r="U49" s="57">
        <v>1.0</v>
      </c>
      <c r="V49" s="54"/>
    </row>
    <row r="50" ht="14.25" customHeight="1">
      <c r="B50" s="108"/>
      <c r="C50" s="56" t="s">
        <v>717</v>
      </c>
      <c r="D50" s="3"/>
      <c r="E50" s="57">
        <v>1.0</v>
      </c>
      <c r="F50" s="54"/>
      <c r="G50" s="56" t="s">
        <v>718</v>
      </c>
      <c r="H50" s="3"/>
      <c r="I50" s="57">
        <v>7.0</v>
      </c>
      <c r="J50" s="54"/>
      <c r="K50" s="56" t="s">
        <v>719</v>
      </c>
      <c r="L50" s="3"/>
      <c r="M50" s="57">
        <v>1.0</v>
      </c>
      <c r="N50" s="54"/>
      <c r="O50" s="56" t="s">
        <v>720</v>
      </c>
      <c r="P50" s="3"/>
      <c r="Q50" s="57">
        <v>7.0</v>
      </c>
      <c r="R50" s="54"/>
      <c r="S50" s="56" t="s">
        <v>721</v>
      </c>
      <c r="T50" s="3"/>
      <c r="U50" s="57">
        <v>1.0</v>
      </c>
      <c r="V50" s="54"/>
    </row>
    <row r="51" ht="14.25" customHeight="1">
      <c r="B51" s="110"/>
      <c r="C51" s="60" t="s">
        <v>722</v>
      </c>
      <c r="D51" s="61"/>
      <c r="E51" s="62">
        <v>1.0</v>
      </c>
      <c r="F51" s="65">
        <f>SUM(E44:E51)</f>
        <v>77</v>
      </c>
      <c r="G51" s="60" t="s">
        <v>723</v>
      </c>
      <c r="H51" s="61"/>
      <c r="I51" s="62">
        <v>2.0</v>
      </c>
      <c r="J51" s="65">
        <f>SUM(I44:I51)</f>
        <v>47</v>
      </c>
      <c r="K51" s="60" t="s">
        <v>724</v>
      </c>
      <c r="L51" s="61"/>
      <c r="M51" s="62">
        <v>1.0</v>
      </c>
      <c r="N51" s="65">
        <f>SUM(M44:M51)</f>
        <v>52</v>
      </c>
      <c r="O51" s="60" t="s">
        <v>725</v>
      </c>
      <c r="P51" s="61"/>
      <c r="Q51" s="62">
        <v>1.0</v>
      </c>
      <c r="R51" s="65">
        <f>SUM(Q44:Q51)</f>
        <v>70</v>
      </c>
      <c r="S51" s="60" t="s">
        <v>726</v>
      </c>
      <c r="T51" s="61"/>
      <c r="U51" s="62">
        <v>1.0</v>
      </c>
      <c r="V51" s="65">
        <f>SUM(U44:U51)</f>
        <v>56</v>
      </c>
      <c r="W51" s="125" t="s">
        <v>464</v>
      </c>
    </row>
    <row r="52" ht="14.25" customHeight="1">
      <c r="B52" s="111"/>
      <c r="C52" s="67" t="s">
        <v>727</v>
      </c>
      <c r="D52" s="68"/>
      <c r="E52" s="69">
        <v>22.0</v>
      </c>
      <c r="F52" s="72"/>
      <c r="G52" s="67" t="s">
        <v>728</v>
      </c>
      <c r="H52" s="68"/>
      <c r="I52" s="69">
        <v>52.0</v>
      </c>
      <c r="J52" s="72"/>
      <c r="K52" s="67" t="s">
        <v>729</v>
      </c>
      <c r="L52" s="68"/>
      <c r="M52" s="69">
        <v>15.0</v>
      </c>
      <c r="N52" s="72"/>
      <c r="O52" s="67" t="s">
        <v>730</v>
      </c>
      <c r="P52" s="68"/>
      <c r="Q52" s="69">
        <v>42.0</v>
      </c>
      <c r="R52" s="72"/>
      <c r="S52" s="67" t="s">
        <v>731</v>
      </c>
      <c r="T52" s="68"/>
      <c r="U52" s="69">
        <v>27.0</v>
      </c>
      <c r="V52" s="72"/>
    </row>
    <row r="53" ht="14.25" customHeight="1">
      <c r="B53" s="112"/>
      <c r="C53" s="74" t="s">
        <v>732</v>
      </c>
      <c r="D53" s="3"/>
      <c r="E53" s="75">
        <v>26.0</v>
      </c>
      <c r="F53" s="72"/>
      <c r="G53" s="74" t="s">
        <v>733</v>
      </c>
      <c r="H53" s="3"/>
      <c r="I53" s="75">
        <v>35.0</v>
      </c>
      <c r="J53" s="72"/>
      <c r="K53" s="74" t="s">
        <v>734</v>
      </c>
      <c r="L53" s="3"/>
      <c r="M53" s="75">
        <v>51.0</v>
      </c>
      <c r="N53" s="72"/>
      <c r="O53" s="74" t="s">
        <v>735</v>
      </c>
      <c r="P53" s="3"/>
      <c r="Q53" s="75">
        <v>35.0</v>
      </c>
      <c r="R53" s="72"/>
      <c r="S53" s="74" t="s">
        <v>736</v>
      </c>
      <c r="T53" s="3"/>
      <c r="U53" s="75">
        <v>19.0</v>
      </c>
      <c r="V53" s="72"/>
    </row>
    <row r="54" ht="14.25" customHeight="1">
      <c r="B54" s="112"/>
      <c r="C54" s="74" t="s">
        <v>737</v>
      </c>
      <c r="D54" s="3"/>
      <c r="E54" s="75">
        <v>20.0</v>
      </c>
      <c r="F54" s="72"/>
      <c r="G54" s="74" t="s">
        <v>738</v>
      </c>
      <c r="H54" s="3"/>
      <c r="I54" s="75">
        <v>10.0</v>
      </c>
      <c r="J54" s="72"/>
      <c r="K54" s="74" t="s">
        <v>739</v>
      </c>
      <c r="L54" s="3"/>
      <c r="M54" s="75">
        <v>12.0</v>
      </c>
      <c r="N54" s="72"/>
      <c r="O54" s="74" t="s">
        <v>740</v>
      </c>
      <c r="P54" s="3"/>
      <c r="Q54" s="75">
        <v>36.0</v>
      </c>
      <c r="R54" s="72"/>
      <c r="S54" s="74" t="s">
        <v>741</v>
      </c>
      <c r="T54" s="3"/>
      <c r="U54" s="75">
        <v>37.0</v>
      </c>
      <c r="V54" s="72"/>
    </row>
    <row r="55" ht="14.25" customHeight="1">
      <c r="B55" s="113" t="s">
        <v>95</v>
      </c>
      <c r="C55" s="74" t="s">
        <v>742</v>
      </c>
      <c r="D55" s="3"/>
      <c r="E55" s="75">
        <v>16.0</v>
      </c>
      <c r="F55" s="72"/>
      <c r="G55" s="74" t="s">
        <v>743</v>
      </c>
      <c r="H55" s="3"/>
      <c r="I55" s="75">
        <v>12.0</v>
      </c>
      <c r="J55" s="72"/>
      <c r="K55" s="74" t="s">
        <v>744</v>
      </c>
      <c r="L55" s="3"/>
      <c r="M55" s="75">
        <v>8.0</v>
      </c>
      <c r="N55" s="72"/>
      <c r="O55" s="74" t="s">
        <v>745</v>
      </c>
      <c r="P55" s="3"/>
      <c r="Q55" s="75">
        <v>1.0</v>
      </c>
      <c r="R55" s="72"/>
      <c r="S55" s="74" t="s">
        <v>746</v>
      </c>
      <c r="T55" s="3"/>
      <c r="U55" s="75">
        <v>24.0</v>
      </c>
      <c r="V55" s="72"/>
    </row>
    <row r="56" ht="14.25" customHeight="1">
      <c r="B56" s="112"/>
      <c r="C56" s="74" t="s">
        <v>747</v>
      </c>
      <c r="D56" s="3"/>
      <c r="E56" s="75">
        <v>3.0</v>
      </c>
      <c r="F56" s="72"/>
      <c r="G56" s="74" t="s">
        <v>748</v>
      </c>
      <c r="H56" s="3"/>
      <c r="I56" s="75">
        <v>17.0</v>
      </c>
      <c r="J56" s="72"/>
      <c r="K56" s="74" t="s">
        <v>749</v>
      </c>
      <c r="L56" s="3"/>
      <c r="M56" s="75">
        <v>5.0</v>
      </c>
      <c r="N56" s="72"/>
      <c r="O56" s="74" t="s">
        <v>750</v>
      </c>
      <c r="P56" s="3"/>
      <c r="Q56" s="75">
        <v>5.0</v>
      </c>
      <c r="R56" s="72"/>
      <c r="S56" s="74" t="s">
        <v>751</v>
      </c>
      <c r="T56" s="3"/>
      <c r="U56" s="75">
        <v>10.0</v>
      </c>
      <c r="V56" s="72"/>
    </row>
    <row r="57" ht="14.25" customHeight="1">
      <c r="B57" s="112"/>
      <c r="C57" s="74" t="s">
        <v>752</v>
      </c>
      <c r="D57" s="3"/>
      <c r="E57" s="75">
        <v>3.0</v>
      </c>
      <c r="F57" s="72"/>
      <c r="G57" s="74" t="s">
        <v>753</v>
      </c>
      <c r="H57" s="3"/>
      <c r="I57" s="75">
        <v>9.0</v>
      </c>
      <c r="J57" s="72"/>
      <c r="K57" s="74" t="s">
        <v>754</v>
      </c>
      <c r="L57" s="3"/>
      <c r="M57" s="75">
        <v>2.0</v>
      </c>
      <c r="N57" s="72"/>
      <c r="O57" s="74" t="s">
        <v>755</v>
      </c>
      <c r="P57" s="3"/>
      <c r="Q57" s="75">
        <v>2.0</v>
      </c>
      <c r="R57" s="72"/>
      <c r="S57" s="74" t="s">
        <v>756</v>
      </c>
      <c r="T57" s="3"/>
      <c r="U57" s="75">
        <v>1.0</v>
      </c>
      <c r="V57" s="72"/>
    </row>
    <row r="58" ht="14.25" customHeight="1">
      <c r="B58" s="112"/>
      <c r="C58" s="74" t="s">
        <v>757</v>
      </c>
      <c r="D58" s="3"/>
      <c r="E58" s="75">
        <v>1.0</v>
      </c>
      <c r="F58" s="72"/>
      <c r="G58" s="74" t="s">
        <v>758</v>
      </c>
      <c r="H58" s="3"/>
      <c r="I58" s="75">
        <v>6.0</v>
      </c>
      <c r="J58" s="72"/>
      <c r="K58" s="74" t="s">
        <v>759</v>
      </c>
      <c r="L58" s="3"/>
      <c r="M58" s="75">
        <v>1.0</v>
      </c>
      <c r="N58" s="72"/>
      <c r="O58" s="74" t="s">
        <v>760</v>
      </c>
      <c r="P58" s="3"/>
      <c r="Q58" s="75">
        <v>1.0</v>
      </c>
      <c r="R58" s="72"/>
      <c r="S58" s="74" t="s">
        <v>761</v>
      </c>
      <c r="T58" s="3"/>
      <c r="U58" s="75">
        <v>21.0</v>
      </c>
      <c r="V58" s="72"/>
    </row>
    <row r="59" ht="14.25" customHeight="1">
      <c r="B59" s="114"/>
      <c r="C59" s="78" t="s">
        <v>762</v>
      </c>
      <c r="D59" s="61"/>
      <c r="E59" s="79">
        <v>1.0</v>
      </c>
      <c r="F59" s="82">
        <f>SUM(E52:E59)</f>
        <v>92</v>
      </c>
      <c r="G59" s="78" t="s">
        <v>763</v>
      </c>
      <c r="H59" s="61"/>
      <c r="I59" s="79">
        <v>2.0</v>
      </c>
      <c r="J59" s="82">
        <f>SUM(I52:I59)</f>
        <v>143</v>
      </c>
      <c r="K59" s="78" t="s">
        <v>764</v>
      </c>
      <c r="L59" s="61"/>
      <c r="M59" s="79">
        <v>1.0</v>
      </c>
      <c r="N59" s="82">
        <f>SUM(M52:M59)</f>
        <v>95</v>
      </c>
      <c r="O59" s="78" t="s">
        <v>765</v>
      </c>
      <c r="P59" s="61"/>
      <c r="Q59" s="79">
        <v>1.0</v>
      </c>
      <c r="R59" s="82">
        <f>SUM(Q52:Q59)</f>
        <v>123</v>
      </c>
      <c r="S59" s="78" t="s">
        <v>766</v>
      </c>
      <c r="T59" s="61"/>
      <c r="U59" s="79">
        <v>5.0</v>
      </c>
      <c r="V59" s="82">
        <f>SUM(U52:U59)</f>
        <v>144</v>
      </c>
    </row>
    <row r="60" ht="14.25" customHeight="1">
      <c r="B60" s="115"/>
      <c r="C60" s="84" t="s">
        <v>767</v>
      </c>
      <c r="D60" s="68"/>
      <c r="E60" s="85">
        <v>181.0</v>
      </c>
      <c r="F60" s="88"/>
      <c r="G60" s="84" t="s">
        <v>768</v>
      </c>
      <c r="H60" s="68"/>
      <c r="I60" s="85">
        <v>120.0</v>
      </c>
      <c r="J60" s="88"/>
      <c r="K60" s="84" t="s">
        <v>769</v>
      </c>
      <c r="L60" s="68"/>
      <c r="M60" s="85">
        <v>188.0</v>
      </c>
      <c r="N60" s="88"/>
      <c r="O60" s="84" t="s">
        <v>770</v>
      </c>
      <c r="P60" s="68"/>
      <c r="Q60" s="85">
        <v>50.0</v>
      </c>
      <c r="R60" s="88"/>
      <c r="S60" s="84" t="s">
        <v>771</v>
      </c>
      <c r="T60" s="68"/>
      <c r="U60" s="85">
        <v>191.0</v>
      </c>
      <c r="V60" s="88"/>
    </row>
    <row r="61" ht="14.25" customHeight="1">
      <c r="B61" s="116"/>
      <c r="C61" s="90" t="s">
        <v>772</v>
      </c>
      <c r="D61" s="3"/>
      <c r="E61" s="91">
        <v>11.0</v>
      </c>
      <c r="F61" s="88"/>
      <c r="G61" s="90" t="s">
        <v>773</v>
      </c>
      <c r="H61" s="3"/>
      <c r="I61" s="91">
        <v>150.0</v>
      </c>
      <c r="J61" s="88"/>
      <c r="K61" s="90" t="s">
        <v>774</v>
      </c>
      <c r="L61" s="3"/>
      <c r="M61" s="91">
        <v>37.0</v>
      </c>
      <c r="N61" s="88"/>
      <c r="O61" s="90" t="s">
        <v>775</v>
      </c>
      <c r="P61" s="3"/>
      <c r="Q61" s="91">
        <v>161.0</v>
      </c>
      <c r="R61" s="88"/>
      <c r="S61" s="90" t="s">
        <v>776</v>
      </c>
      <c r="T61" s="3"/>
      <c r="U61" s="91">
        <v>60.0</v>
      </c>
      <c r="V61" s="88"/>
    </row>
    <row r="62" ht="14.25" customHeight="1">
      <c r="B62" s="117" t="s">
        <v>131</v>
      </c>
      <c r="C62" s="90" t="s">
        <v>777</v>
      </c>
      <c r="D62" s="3"/>
      <c r="E62" s="91">
        <v>20.0</v>
      </c>
      <c r="F62" s="88"/>
      <c r="G62" s="90" t="s">
        <v>778</v>
      </c>
      <c r="H62" s="3"/>
      <c r="I62" s="91">
        <v>1.0</v>
      </c>
      <c r="J62" s="88"/>
      <c r="K62" s="90" t="s">
        <v>779</v>
      </c>
      <c r="L62" s="3"/>
      <c r="M62" s="91">
        <v>41.0</v>
      </c>
      <c r="N62" s="88"/>
      <c r="O62" s="90" t="s">
        <v>780</v>
      </c>
      <c r="P62" s="3"/>
      <c r="Q62" s="91">
        <v>47.0</v>
      </c>
      <c r="R62" s="88"/>
      <c r="S62" s="90" t="s">
        <v>781</v>
      </c>
      <c r="T62" s="3"/>
      <c r="U62" s="91">
        <v>20.0</v>
      </c>
      <c r="V62" s="88"/>
    </row>
    <row r="63" ht="14.25" customHeight="1">
      <c r="B63" s="116"/>
      <c r="C63" s="90" t="s">
        <v>782</v>
      </c>
      <c r="D63" s="3"/>
      <c r="E63" s="91">
        <v>10.0</v>
      </c>
      <c r="F63" s="88"/>
      <c r="G63" s="90" t="s">
        <v>783</v>
      </c>
      <c r="H63" s="3"/>
      <c r="I63" s="91">
        <v>14.0</v>
      </c>
      <c r="J63" s="88"/>
      <c r="K63" s="90" t="s">
        <v>784</v>
      </c>
      <c r="L63" s="3"/>
      <c r="M63" s="91">
        <v>28.0</v>
      </c>
      <c r="N63" s="88"/>
      <c r="O63" s="90" t="s">
        <v>785</v>
      </c>
      <c r="P63" s="3"/>
      <c r="Q63" s="91">
        <v>3.0</v>
      </c>
      <c r="R63" s="88"/>
      <c r="S63" s="90" t="s">
        <v>786</v>
      </c>
      <c r="T63" s="3"/>
      <c r="U63" s="91">
        <v>6.0</v>
      </c>
      <c r="V63" s="88"/>
    </row>
    <row r="64" ht="14.25" customHeight="1">
      <c r="B64" s="116"/>
      <c r="C64" s="90" t="s">
        <v>787</v>
      </c>
      <c r="D64" s="3"/>
      <c r="E64" s="91">
        <v>9.0</v>
      </c>
      <c r="F64" s="88"/>
      <c r="G64" s="90" t="s">
        <v>788</v>
      </c>
      <c r="H64" s="3"/>
      <c r="I64" s="91">
        <v>1.0</v>
      </c>
      <c r="J64" s="88"/>
      <c r="K64" s="90" t="s">
        <v>789</v>
      </c>
      <c r="L64" s="3"/>
      <c r="M64" s="91">
        <v>11.0</v>
      </c>
      <c r="N64" s="88"/>
      <c r="O64" s="90" t="s">
        <v>790</v>
      </c>
      <c r="P64" s="3"/>
      <c r="Q64" s="91">
        <v>1.0</v>
      </c>
      <c r="R64" s="88"/>
      <c r="S64" s="90" t="s">
        <v>791</v>
      </c>
      <c r="T64" s="3"/>
      <c r="U64" s="91">
        <v>2.0</v>
      </c>
      <c r="V64" s="88"/>
    </row>
    <row r="65" ht="14.25" customHeight="1">
      <c r="B65" s="118"/>
      <c r="C65" s="94" t="s">
        <v>792</v>
      </c>
      <c r="D65" s="61"/>
      <c r="E65" s="95">
        <v>9.0</v>
      </c>
      <c r="F65" s="98">
        <f>SUM(E60:E65)</f>
        <v>240</v>
      </c>
      <c r="G65" s="94" t="s">
        <v>793</v>
      </c>
      <c r="H65" s="61"/>
      <c r="I65" s="95">
        <v>1.0</v>
      </c>
      <c r="J65" s="98">
        <f>SUM(I60:I65)</f>
        <v>287</v>
      </c>
      <c r="K65" s="94" t="s">
        <v>794</v>
      </c>
      <c r="L65" s="61"/>
      <c r="M65" s="95">
        <v>14.0</v>
      </c>
      <c r="N65" s="98">
        <f>SUM(M60:M65)</f>
        <v>319</v>
      </c>
      <c r="O65" s="94" t="s">
        <v>795</v>
      </c>
      <c r="P65" s="61"/>
      <c r="Q65" s="95">
        <v>3.0</v>
      </c>
      <c r="R65" s="98">
        <f>SUM(Q60:Q65)</f>
        <v>265</v>
      </c>
      <c r="S65" s="94" t="s">
        <v>796</v>
      </c>
      <c r="T65" s="61"/>
      <c r="U65" s="95">
        <v>1.0</v>
      </c>
      <c r="V65" s="98">
        <f>SUM(U60:U65)</f>
        <v>280</v>
      </c>
    </row>
    <row r="66" ht="14.25" customHeight="1">
      <c r="C66" s="23" t="s">
        <v>152</v>
      </c>
      <c r="D66" s="22"/>
      <c r="E66" s="102">
        <f>SUM(E41:E65)</f>
        <v>471</v>
      </c>
      <c r="F66" s="101"/>
      <c r="G66" s="23" t="s">
        <v>152</v>
      </c>
      <c r="H66" s="22"/>
      <c r="I66" s="102">
        <f>SUM(I41:I65)</f>
        <v>500</v>
      </c>
      <c r="J66" s="101"/>
      <c r="K66" s="23" t="s">
        <v>152</v>
      </c>
      <c r="L66" s="22"/>
      <c r="M66" s="102">
        <f>SUM(M41:M65)</f>
        <v>496</v>
      </c>
      <c r="N66" s="101"/>
      <c r="O66" s="23" t="s">
        <v>152</v>
      </c>
      <c r="P66" s="22"/>
      <c r="Q66" s="102">
        <f>SUM(Q41:Q65)</f>
        <v>494</v>
      </c>
      <c r="R66" s="101"/>
      <c r="S66" s="23" t="s">
        <v>152</v>
      </c>
      <c r="T66" s="22"/>
      <c r="U66" s="102">
        <f>SUM(U41:U65)</f>
        <v>500</v>
      </c>
      <c r="V66" s="101"/>
    </row>
    <row r="67" ht="14.25" customHeight="1">
      <c r="C67" s="23" t="s">
        <v>153</v>
      </c>
      <c r="D67" s="22"/>
      <c r="E67" s="102">
        <f>500-E66</f>
        <v>29</v>
      </c>
      <c r="F67" s="103"/>
      <c r="G67" s="23" t="s">
        <v>153</v>
      </c>
      <c r="H67" s="22"/>
      <c r="I67" s="102">
        <f>500-I66</f>
        <v>0</v>
      </c>
      <c r="J67" s="103"/>
      <c r="K67" s="23" t="s">
        <v>153</v>
      </c>
      <c r="L67" s="22"/>
      <c r="M67" s="102">
        <f>500-M66</f>
        <v>4</v>
      </c>
      <c r="N67" s="103"/>
      <c r="O67" s="23" t="s">
        <v>153</v>
      </c>
      <c r="P67" s="22"/>
      <c r="Q67" s="102">
        <f>500-Q66</f>
        <v>6</v>
      </c>
      <c r="R67" s="103"/>
      <c r="S67" s="23" t="s">
        <v>153</v>
      </c>
      <c r="T67" s="22"/>
      <c r="U67" s="121">
        <f>500-U66</f>
        <v>0</v>
      </c>
      <c r="V67" s="103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>
      <c r="M87" s="125" t="s">
        <v>797</v>
      </c>
    </row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7">
    <mergeCell ref="S62:T62"/>
    <mergeCell ref="S63:T63"/>
    <mergeCell ref="O58:P58"/>
    <mergeCell ref="O59:P59"/>
    <mergeCell ref="O60:P60"/>
    <mergeCell ref="O61:P61"/>
    <mergeCell ref="S61:T61"/>
    <mergeCell ref="O62:P62"/>
    <mergeCell ref="O63:P63"/>
    <mergeCell ref="O9:P9"/>
    <mergeCell ref="O10:P10"/>
    <mergeCell ref="O11:P11"/>
    <mergeCell ref="O12:P12"/>
    <mergeCell ref="O13:P13"/>
    <mergeCell ref="O14:P14"/>
    <mergeCell ref="O15:P15"/>
    <mergeCell ref="O25:P25"/>
    <mergeCell ref="O26:P26"/>
    <mergeCell ref="O30:P30"/>
    <mergeCell ref="O31:P31"/>
    <mergeCell ref="O32:P32"/>
    <mergeCell ref="O39:R39"/>
    <mergeCell ref="S39:V39"/>
    <mergeCell ref="O41:P41"/>
    <mergeCell ref="S41:T41"/>
    <mergeCell ref="O42:P42"/>
    <mergeCell ref="S42:T42"/>
    <mergeCell ref="O43:P43"/>
    <mergeCell ref="S43:T43"/>
    <mergeCell ref="S44:T44"/>
    <mergeCell ref="O44:P44"/>
    <mergeCell ref="O45:P45"/>
    <mergeCell ref="O46:P46"/>
    <mergeCell ref="O47:P47"/>
    <mergeCell ref="O48:P48"/>
    <mergeCell ref="O49:P49"/>
    <mergeCell ref="O50:P50"/>
    <mergeCell ref="S45:T45"/>
    <mergeCell ref="S46:T46"/>
    <mergeCell ref="S47:T47"/>
    <mergeCell ref="S48:T48"/>
    <mergeCell ref="S49:T49"/>
    <mergeCell ref="S50:T50"/>
    <mergeCell ref="S51:T51"/>
    <mergeCell ref="O51:P51"/>
    <mergeCell ref="O52:P52"/>
    <mergeCell ref="O53:P53"/>
    <mergeCell ref="O54:P54"/>
    <mergeCell ref="O55:P55"/>
    <mergeCell ref="O56:P56"/>
    <mergeCell ref="O57:P57"/>
    <mergeCell ref="O64:P64"/>
    <mergeCell ref="S64:T64"/>
    <mergeCell ref="G6:H6"/>
    <mergeCell ref="K6:L6"/>
    <mergeCell ref="C7:D7"/>
    <mergeCell ref="G7:H7"/>
    <mergeCell ref="K7:L7"/>
    <mergeCell ref="G8:H8"/>
    <mergeCell ref="K8:L8"/>
    <mergeCell ref="C8:D8"/>
    <mergeCell ref="C9:D9"/>
    <mergeCell ref="G9:H9"/>
    <mergeCell ref="K9:L9"/>
    <mergeCell ref="C10:D10"/>
    <mergeCell ref="K10:L10"/>
    <mergeCell ref="K11:L11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9:J39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66:H66"/>
    <mergeCell ref="G67:H67"/>
    <mergeCell ref="G59:H59"/>
    <mergeCell ref="G60:H60"/>
    <mergeCell ref="G61:H61"/>
    <mergeCell ref="G62:H62"/>
    <mergeCell ref="G63:H63"/>
    <mergeCell ref="G64:H64"/>
    <mergeCell ref="G65:H65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9:F39"/>
    <mergeCell ref="C38:D38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61:D61"/>
    <mergeCell ref="C62:D62"/>
    <mergeCell ref="C63:D63"/>
    <mergeCell ref="C64:D64"/>
    <mergeCell ref="C65:D65"/>
    <mergeCell ref="C66:D66"/>
    <mergeCell ref="C67:D67"/>
    <mergeCell ref="C54:D54"/>
    <mergeCell ref="C55:D55"/>
    <mergeCell ref="C56:D56"/>
    <mergeCell ref="C57:D57"/>
    <mergeCell ref="C58:D58"/>
    <mergeCell ref="C59:D59"/>
    <mergeCell ref="C60:D60"/>
    <mergeCell ref="O23:P23"/>
    <mergeCell ref="O24:P24"/>
    <mergeCell ref="O16:P16"/>
    <mergeCell ref="O17:P17"/>
    <mergeCell ref="O18:P18"/>
    <mergeCell ref="O19:P19"/>
    <mergeCell ref="O20:P20"/>
    <mergeCell ref="O21:P21"/>
    <mergeCell ref="O22:P22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30:L30"/>
    <mergeCell ref="K31:L31"/>
    <mergeCell ref="K32:L32"/>
    <mergeCell ref="K39:N39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65:L65"/>
    <mergeCell ref="K66:L66"/>
    <mergeCell ref="K67:L67"/>
    <mergeCell ref="K58:L58"/>
    <mergeCell ref="K59:L59"/>
    <mergeCell ref="K60:L60"/>
    <mergeCell ref="K61:L61"/>
    <mergeCell ref="K62:L62"/>
    <mergeCell ref="K63:L63"/>
    <mergeCell ref="K64:L64"/>
    <mergeCell ref="H1:Q1"/>
    <mergeCell ref="C4:F4"/>
    <mergeCell ref="G4:J4"/>
    <mergeCell ref="K4:N4"/>
    <mergeCell ref="O4:R4"/>
    <mergeCell ref="S4:V4"/>
    <mergeCell ref="C6:D6"/>
    <mergeCell ref="O6:P6"/>
    <mergeCell ref="S6:T6"/>
    <mergeCell ref="O7:P7"/>
    <mergeCell ref="S7:T7"/>
    <mergeCell ref="O8:P8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K26:L26"/>
    <mergeCell ref="K27:L27"/>
    <mergeCell ref="O27:P27"/>
    <mergeCell ref="O28:P28"/>
    <mergeCell ref="O29:P29"/>
    <mergeCell ref="K28:L28"/>
    <mergeCell ref="K29:L29"/>
    <mergeCell ref="S31:T31"/>
    <mergeCell ref="S32:T32"/>
    <mergeCell ref="S24:T24"/>
    <mergeCell ref="S25:T25"/>
    <mergeCell ref="S26:T26"/>
    <mergeCell ref="S27:T27"/>
    <mergeCell ref="S28:T28"/>
    <mergeCell ref="S29:T29"/>
    <mergeCell ref="S30:T30"/>
    <mergeCell ref="S59:T59"/>
    <mergeCell ref="S60:T60"/>
    <mergeCell ref="O65:P65"/>
    <mergeCell ref="S65:T65"/>
    <mergeCell ref="O66:P66"/>
    <mergeCell ref="S66:T66"/>
    <mergeCell ref="O67:P67"/>
    <mergeCell ref="S67:T67"/>
    <mergeCell ref="S52:T52"/>
    <mergeCell ref="S53:T53"/>
    <mergeCell ref="S54:T54"/>
    <mergeCell ref="S55:T55"/>
    <mergeCell ref="S56:T56"/>
    <mergeCell ref="S57:T57"/>
    <mergeCell ref="S58:T58"/>
  </mergeCells>
  <dataValidations>
    <dataValidation type="list" allowBlank="1" sqref="C6:C30 G6:G30 K6:K30 O6:O30 S6:S30 C41:C65 G41:G65 K41:K65 O41:O65 S41:S65">
      <formula1>Lista!$C$1:$C$998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57"/>
    <col customWidth="1" min="7" max="22" width="8.71"/>
    <col customWidth="1" min="23" max="26" width="16.43"/>
  </cols>
  <sheetData>
    <row r="1" ht="28.5" customHeight="1">
      <c r="H1" s="20" t="s">
        <v>798</v>
      </c>
      <c r="I1" s="21"/>
      <c r="J1" s="21"/>
      <c r="K1" s="21"/>
      <c r="L1" s="21"/>
      <c r="M1" s="21"/>
      <c r="N1" s="21"/>
      <c r="O1" s="21"/>
      <c r="P1" s="21"/>
      <c r="Q1" s="22"/>
    </row>
    <row r="2" ht="14.25" customHeight="1"/>
    <row r="3" ht="14.25" customHeight="1"/>
    <row r="4" ht="14.25" customHeight="1">
      <c r="C4" s="24" t="s">
        <v>11</v>
      </c>
      <c r="D4" s="21"/>
      <c r="E4" s="21"/>
      <c r="F4" s="22"/>
      <c r="G4" s="24" t="s">
        <v>537</v>
      </c>
      <c r="H4" s="21"/>
      <c r="I4" s="21"/>
      <c r="J4" s="22"/>
      <c r="K4" s="24" t="s">
        <v>799</v>
      </c>
      <c r="L4" s="21"/>
      <c r="M4" s="21"/>
      <c r="N4" s="22"/>
      <c r="O4" s="24" t="s">
        <v>539</v>
      </c>
      <c r="P4" s="21"/>
      <c r="Q4" s="21"/>
      <c r="R4" s="22"/>
      <c r="S4" s="24" t="s">
        <v>540</v>
      </c>
      <c r="T4" s="21"/>
      <c r="U4" s="21"/>
      <c r="V4" s="22"/>
      <c r="X4" s="125" t="s">
        <v>800</v>
      </c>
    </row>
    <row r="5" ht="14.25" customHeight="1">
      <c r="C5" s="25" t="s">
        <v>20</v>
      </c>
      <c r="D5" s="26"/>
      <c r="E5" s="27" t="s">
        <v>21</v>
      </c>
      <c r="F5" s="28" t="s">
        <v>22</v>
      </c>
      <c r="G5" s="25" t="s">
        <v>20</v>
      </c>
      <c r="H5" s="26"/>
      <c r="I5" s="27" t="s">
        <v>21</v>
      </c>
      <c r="J5" s="28" t="s">
        <v>22</v>
      </c>
      <c r="K5" s="29" t="s">
        <v>20</v>
      </c>
      <c r="L5" s="30"/>
      <c r="M5" s="31" t="s">
        <v>21</v>
      </c>
      <c r="N5" s="28" t="s">
        <v>22</v>
      </c>
      <c r="O5" s="126" t="s">
        <v>20</v>
      </c>
      <c r="P5" s="30"/>
      <c r="Q5" s="31" t="s">
        <v>21</v>
      </c>
      <c r="R5" s="28" t="s">
        <v>22</v>
      </c>
      <c r="S5" s="29" t="s">
        <v>20</v>
      </c>
      <c r="T5" s="30"/>
      <c r="U5" s="31" t="s">
        <v>21</v>
      </c>
      <c r="V5" s="28" t="s">
        <v>22</v>
      </c>
      <c r="X5" s="125" t="s">
        <v>11</v>
      </c>
    </row>
    <row r="6" ht="14.25" customHeight="1">
      <c r="B6" s="32"/>
      <c r="C6" s="33" t="s">
        <v>676</v>
      </c>
      <c r="D6" s="34"/>
      <c r="E6" s="35">
        <v>16.0</v>
      </c>
      <c r="F6" s="36"/>
      <c r="G6" s="33" t="s">
        <v>544</v>
      </c>
      <c r="H6" s="34"/>
      <c r="I6" s="35">
        <v>52.0</v>
      </c>
      <c r="J6" s="37"/>
      <c r="K6" s="33" t="s">
        <v>678</v>
      </c>
      <c r="L6" s="34"/>
      <c r="M6" s="35">
        <v>26.0</v>
      </c>
      <c r="N6" s="38"/>
      <c r="O6" s="33" t="s">
        <v>547</v>
      </c>
      <c r="P6" s="34"/>
      <c r="Q6" s="35">
        <v>21.0</v>
      </c>
      <c r="R6" s="38"/>
      <c r="S6" s="33" t="s">
        <v>545</v>
      </c>
      <c r="T6" s="34"/>
      <c r="U6" s="35">
        <v>40.0</v>
      </c>
      <c r="V6" s="38"/>
    </row>
    <row r="7" ht="14.25" customHeight="1">
      <c r="B7" s="39" t="s">
        <v>28</v>
      </c>
      <c r="C7" s="33" t="s">
        <v>801</v>
      </c>
      <c r="D7" s="34"/>
      <c r="E7" s="41">
        <v>1.0</v>
      </c>
      <c r="F7" s="36"/>
      <c r="G7" s="33" t="s">
        <v>552</v>
      </c>
      <c r="H7" s="34"/>
      <c r="I7" s="41">
        <v>1.0</v>
      </c>
      <c r="J7" s="37"/>
      <c r="K7" s="33" t="s">
        <v>674</v>
      </c>
      <c r="L7" s="34"/>
      <c r="M7" s="41">
        <v>16.0</v>
      </c>
      <c r="N7" s="38"/>
      <c r="O7" s="33" t="s">
        <v>802</v>
      </c>
      <c r="P7" s="34"/>
      <c r="Q7" s="41">
        <v>4.0</v>
      </c>
      <c r="R7" s="38"/>
      <c r="S7" s="33" t="s">
        <v>550</v>
      </c>
      <c r="T7" s="34"/>
      <c r="U7" s="41">
        <v>1.0</v>
      </c>
      <c r="V7" s="38"/>
    </row>
    <row r="8" ht="14.25" customHeight="1">
      <c r="B8" s="42"/>
      <c r="C8" s="119" t="s">
        <v>803</v>
      </c>
      <c r="D8" s="120"/>
      <c r="E8" s="45">
        <v>1.0</v>
      </c>
      <c r="F8" s="46">
        <f>SUM(E6:E8)</f>
        <v>18</v>
      </c>
      <c r="G8" s="119" t="s">
        <v>804</v>
      </c>
      <c r="H8" s="120"/>
      <c r="I8" s="45">
        <v>1.0</v>
      </c>
      <c r="J8" s="47">
        <f>SUM(I6:I8)</f>
        <v>54</v>
      </c>
      <c r="K8" s="119" t="s">
        <v>805</v>
      </c>
      <c r="L8" s="120"/>
      <c r="M8" s="45">
        <v>1.0</v>
      </c>
      <c r="N8" s="48">
        <f>SUM(M6:M8)</f>
        <v>43</v>
      </c>
      <c r="O8" s="119" t="s">
        <v>556</v>
      </c>
      <c r="P8" s="120"/>
      <c r="Q8" s="45">
        <v>18.0</v>
      </c>
      <c r="R8" s="48">
        <f>SUM(Q6:Q8)</f>
        <v>43</v>
      </c>
      <c r="S8" s="119" t="s">
        <v>806</v>
      </c>
      <c r="T8" s="120"/>
      <c r="U8" s="45">
        <v>1.0</v>
      </c>
      <c r="V8" s="48">
        <f>SUM(U6:U8)</f>
        <v>42</v>
      </c>
    </row>
    <row r="9" ht="14.25" customHeight="1">
      <c r="B9" s="49"/>
      <c r="C9" s="50" t="s">
        <v>542</v>
      </c>
      <c r="D9" s="34"/>
      <c r="E9" s="51">
        <v>40.0</v>
      </c>
      <c r="F9" s="52"/>
      <c r="G9" s="50" t="s">
        <v>562</v>
      </c>
      <c r="H9" s="34"/>
      <c r="I9" s="51">
        <v>17.0</v>
      </c>
      <c r="J9" s="53"/>
      <c r="K9" s="50" t="s">
        <v>560</v>
      </c>
      <c r="L9" s="34"/>
      <c r="M9" s="51">
        <v>11.0</v>
      </c>
      <c r="N9" s="54"/>
      <c r="O9" s="50" t="s">
        <v>582</v>
      </c>
      <c r="P9" s="34"/>
      <c r="Q9" s="51">
        <v>48.0</v>
      </c>
      <c r="R9" s="54"/>
      <c r="S9" s="50" t="s">
        <v>707</v>
      </c>
      <c r="T9" s="34"/>
      <c r="U9" s="51">
        <v>9.0</v>
      </c>
      <c r="V9" s="54"/>
    </row>
    <row r="10" ht="14.25" customHeight="1">
      <c r="B10" s="55"/>
      <c r="C10" s="56" t="s">
        <v>558</v>
      </c>
      <c r="D10" s="3"/>
      <c r="E10" s="57">
        <v>25.0</v>
      </c>
      <c r="F10" s="52"/>
      <c r="G10" s="56" t="s">
        <v>581</v>
      </c>
      <c r="H10" s="3"/>
      <c r="I10" s="57">
        <v>27.0</v>
      </c>
      <c r="J10" s="53"/>
      <c r="K10" s="56" t="s">
        <v>807</v>
      </c>
      <c r="L10" s="3"/>
      <c r="M10" s="57">
        <v>16.0</v>
      </c>
      <c r="N10" s="54"/>
      <c r="O10" s="56" t="s">
        <v>705</v>
      </c>
      <c r="P10" s="3"/>
      <c r="Q10" s="57">
        <v>6.0</v>
      </c>
      <c r="R10" s="54"/>
      <c r="S10" s="56" t="s">
        <v>699</v>
      </c>
      <c r="T10" s="3"/>
      <c r="U10" s="57">
        <v>21.0</v>
      </c>
      <c r="V10" s="54"/>
    </row>
    <row r="11" ht="14.25" customHeight="1">
      <c r="B11" s="55"/>
      <c r="C11" s="56" t="s">
        <v>702</v>
      </c>
      <c r="D11" s="3"/>
      <c r="E11" s="57">
        <v>16.0</v>
      </c>
      <c r="F11" s="52"/>
      <c r="G11" s="56" t="s">
        <v>691</v>
      </c>
      <c r="H11" s="3"/>
      <c r="I11" s="57">
        <v>16.0</v>
      </c>
      <c r="J11" s="53"/>
      <c r="K11" s="56" t="s">
        <v>726</v>
      </c>
      <c r="L11" s="3"/>
      <c r="M11" s="57">
        <v>8.0</v>
      </c>
      <c r="N11" s="54"/>
      <c r="O11" s="56" t="s">
        <v>714</v>
      </c>
      <c r="P11" s="3"/>
      <c r="Q11" s="57">
        <v>7.0</v>
      </c>
      <c r="R11" s="54"/>
      <c r="S11" s="56" t="s">
        <v>723</v>
      </c>
      <c r="T11" s="3"/>
      <c r="U11" s="57">
        <v>8.0</v>
      </c>
      <c r="V11" s="54"/>
    </row>
    <row r="12" ht="14.25" customHeight="1">
      <c r="B12" s="58" t="s">
        <v>54</v>
      </c>
      <c r="C12" s="56" t="s">
        <v>701</v>
      </c>
      <c r="D12" s="3"/>
      <c r="E12" s="57">
        <v>4.0</v>
      </c>
      <c r="F12" s="52"/>
      <c r="G12" s="56" t="s">
        <v>808</v>
      </c>
      <c r="H12" s="3"/>
      <c r="I12" s="57">
        <v>16.0</v>
      </c>
      <c r="J12" s="53"/>
      <c r="K12" s="56" t="s">
        <v>809</v>
      </c>
      <c r="L12" s="3"/>
      <c r="M12" s="57">
        <v>10.0</v>
      </c>
      <c r="N12" s="54"/>
      <c r="O12" s="56" t="s">
        <v>694</v>
      </c>
      <c r="P12" s="3"/>
      <c r="Q12" s="57">
        <v>12.0</v>
      </c>
      <c r="R12" s="54"/>
      <c r="S12" s="56" t="s">
        <v>578</v>
      </c>
      <c r="T12" s="3"/>
      <c r="U12" s="57">
        <v>3.0</v>
      </c>
      <c r="V12" s="54"/>
    </row>
    <row r="13" ht="14.25" customHeight="1">
      <c r="B13" s="55"/>
      <c r="C13" s="56" t="s">
        <v>810</v>
      </c>
      <c r="D13" s="3"/>
      <c r="E13" s="57">
        <v>1.0</v>
      </c>
      <c r="F13" s="52"/>
      <c r="G13" s="56" t="s">
        <v>698</v>
      </c>
      <c r="H13" s="3"/>
      <c r="I13" s="57">
        <v>3.0</v>
      </c>
      <c r="J13" s="53"/>
      <c r="K13" s="56" t="s">
        <v>811</v>
      </c>
      <c r="L13" s="3"/>
      <c r="M13" s="57">
        <v>15.0</v>
      </c>
      <c r="N13" s="54"/>
      <c r="O13" s="56" t="s">
        <v>812</v>
      </c>
      <c r="P13" s="3"/>
      <c r="Q13" s="57">
        <v>5.0</v>
      </c>
      <c r="R13" s="54"/>
      <c r="S13" s="56" t="s">
        <v>813</v>
      </c>
      <c r="T13" s="3"/>
      <c r="U13" s="57">
        <v>1.0</v>
      </c>
      <c r="V13" s="54"/>
    </row>
    <row r="14" ht="14.25" customHeight="1">
      <c r="B14" s="55"/>
      <c r="C14" s="56" t="s">
        <v>814</v>
      </c>
      <c r="D14" s="3"/>
      <c r="E14" s="57">
        <v>1.0</v>
      </c>
      <c r="F14" s="52"/>
      <c r="G14" s="56" t="s">
        <v>815</v>
      </c>
      <c r="H14" s="3"/>
      <c r="I14" s="57">
        <v>5.0</v>
      </c>
      <c r="J14" s="53"/>
      <c r="K14" s="56" t="s">
        <v>816</v>
      </c>
      <c r="L14" s="3"/>
      <c r="M14" s="57">
        <v>1.0</v>
      </c>
      <c r="N14" s="54"/>
      <c r="O14" s="56" t="s">
        <v>817</v>
      </c>
      <c r="P14" s="3"/>
      <c r="Q14" s="57">
        <v>1.0</v>
      </c>
      <c r="R14" s="54"/>
      <c r="S14" s="56" t="s">
        <v>561</v>
      </c>
      <c r="T14" s="3"/>
      <c r="U14" s="57">
        <v>2.0</v>
      </c>
      <c r="V14" s="54"/>
    </row>
    <row r="15" ht="14.25" customHeight="1">
      <c r="B15" s="55"/>
      <c r="C15" s="56" t="s">
        <v>588</v>
      </c>
      <c r="D15" s="3"/>
      <c r="E15" s="57">
        <v>1.0</v>
      </c>
      <c r="F15" s="52"/>
      <c r="G15" s="56" t="s">
        <v>568</v>
      </c>
      <c r="H15" s="3"/>
      <c r="I15" s="57">
        <v>2.0</v>
      </c>
      <c r="J15" s="53"/>
      <c r="K15" s="56" t="s">
        <v>715</v>
      </c>
      <c r="L15" s="3"/>
      <c r="M15" s="57">
        <v>2.0</v>
      </c>
      <c r="N15" s="54"/>
      <c r="O15" s="56" t="s">
        <v>818</v>
      </c>
      <c r="P15" s="3"/>
      <c r="Q15" s="57">
        <v>5.0</v>
      </c>
      <c r="R15" s="54"/>
      <c r="S15" s="56" t="s">
        <v>700</v>
      </c>
      <c r="T15" s="3"/>
      <c r="U15" s="57">
        <v>2.0</v>
      </c>
      <c r="V15" s="54"/>
    </row>
    <row r="16" ht="14.25" customHeight="1">
      <c r="B16" s="59"/>
      <c r="C16" s="60" t="s">
        <v>819</v>
      </c>
      <c r="D16" s="61"/>
      <c r="E16" s="62">
        <v>1.0</v>
      </c>
      <c r="F16" s="63">
        <f>SUM(E9:E16)</f>
        <v>89</v>
      </c>
      <c r="G16" s="60" t="s">
        <v>820</v>
      </c>
      <c r="H16" s="61"/>
      <c r="I16" s="62">
        <v>1.0</v>
      </c>
      <c r="J16" s="64">
        <f>SUM(I9:I16)</f>
        <v>87</v>
      </c>
      <c r="K16" s="60" t="s">
        <v>821</v>
      </c>
      <c r="L16" s="61"/>
      <c r="M16" s="62">
        <v>1.0</v>
      </c>
      <c r="N16" s="65">
        <f>SUM(M9:M16)</f>
        <v>64</v>
      </c>
      <c r="O16" s="60" t="s">
        <v>822</v>
      </c>
      <c r="P16" s="61"/>
      <c r="Q16" s="62">
        <v>1.0</v>
      </c>
      <c r="R16" s="65">
        <f>SUM(Q9:Q16)</f>
        <v>85</v>
      </c>
      <c r="S16" s="60" t="s">
        <v>823</v>
      </c>
      <c r="T16" s="61"/>
      <c r="U16" s="62">
        <v>1.0</v>
      </c>
      <c r="V16" s="65">
        <f>SUM(U9:U16)</f>
        <v>47</v>
      </c>
    </row>
    <row r="17" ht="14.25" customHeight="1">
      <c r="B17" s="66"/>
      <c r="C17" s="67" t="s">
        <v>735</v>
      </c>
      <c r="D17" s="68"/>
      <c r="E17" s="69">
        <v>36.0</v>
      </c>
      <c r="F17" s="70"/>
      <c r="G17" s="67" t="s">
        <v>618</v>
      </c>
      <c r="H17" s="68"/>
      <c r="I17" s="69">
        <v>44.0</v>
      </c>
      <c r="J17" s="71"/>
      <c r="K17" s="67" t="s">
        <v>727</v>
      </c>
      <c r="L17" s="68"/>
      <c r="M17" s="69">
        <v>37.0</v>
      </c>
      <c r="N17" s="72"/>
      <c r="O17" s="67" t="s">
        <v>604</v>
      </c>
      <c r="P17" s="68"/>
      <c r="Q17" s="69">
        <v>52.0</v>
      </c>
      <c r="R17" s="72"/>
      <c r="S17" s="67" t="s">
        <v>824</v>
      </c>
      <c r="T17" s="68"/>
      <c r="U17" s="69">
        <v>20.0</v>
      </c>
      <c r="V17" s="72"/>
    </row>
    <row r="18" ht="14.25" customHeight="1">
      <c r="B18" s="73"/>
      <c r="C18" s="74" t="s">
        <v>825</v>
      </c>
      <c r="D18" s="3"/>
      <c r="E18" s="75">
        <v>7.0</v>
      </c>
      <c r="F18" s="70"/>
      <c r="G18" s="74" t="s">
        <v>624</v>
      </c>
      <c r="H18" s="3"/>
      <c r="I18" s="75">
        <v>29.0</v>
      </c>
      <c r="J18" s="71"/>
      <c r="K18" s="74" t="s">
        <v>598</v>
      </c>
      <c r="L18" s="3"/>
      <c r="M18" s="75">
        <v>29.0</v>
      </c>
      <c r="N18" s="72"/>
      <c r="O18" s="74" t="s">
        <v>826</v>
      </c>
      <c r="P18" s="3"/>
      <c r="Q18" s="75">
        <v>49.0</v>
      </c>
      <c r="R18" s="72"/>
      <c r="S18" s="74" t="s">
        <v>827</v>
      </c>
      <c r="T18" s="3"/>
      <c r="U18" s="75">
        <v>28.0</v>
      </c>
      <c r="V18" s="72"/>
    </row>
    <row r="19" ht="14.25" customHeight="1">
      <c r="B19" s="73"/>
      <c r="C19" s="74" t="s">
        <v>619</v>
      </c>
      <c r="D19" s="3"/>
      <c r="E19" s="75">
        <v>6.0</v>
      </c>
      <c r="F19" s="70"/>
      <c r="G19" s="74" t="s">
        <v>742</v>
      </c>
      <c r="H19" s="3"/>
      <c r="I19" s="75">
        <v>22.0</v>
      </c>
      <c r="J19" s="71"/>
      <c r="K19" s="74" t="s">
        <v>613</v>
      </c>
      <c r="L19" s="3"/>
      <c r="M19" s="75">
        <v>14.0</v>
      </c>
      <c r="N19" s="72"/>
      <c r="O19" s="74" t="s">
        <v>828</v>
      </c>
      <c r="P19" s="3"/>
      <c r="Q19" s="75">
        <v>5.0</v>
      </c>
      <c r="R19" s="72"/>
      <c r="S19" s="74" t="s">
        <v>762</v>
      </c>
      <c r="T19" s="3"/>
      <c r="U19" s="75">
        <v>23.0</v>
      </c>
      <c r="V19" s="72"/>
    </row>
    <row r="20" ht="14.25" customHeight="1">
      <c r="B20" s="76" t="s">
        <v>95</v>
      </c>
      <c r="C20" s="74" t="s">
        <v>630</v>
      </c>
      <c r="D20" s="3"/>
      <c r="E20" s="75">
        <v>5.0</v>
      </c>
      <c r="F20" s="70"/>
      <c r="G20" s="74" t="s">
        <v>829</v>
      </c>
      <c r="H20" s="3"/>
      <c r="I20" s="75">
        <v>21.0</v>
      </c>
      <c r="J20" s="71"/>
      <c r="K20" s="74" t="s">
        <v>830</v>
      </c>
      <c r="L20" s="3"/>
      <c r="M20" s="75">
        <v>1.0</v>
      </c>
      <c r="N20" s="72"/>
      <c r="O20" s="74" t="s">
        <v>831</v>
      </c>
      <c r="P20" s="3"/>
      <c r="Q20" s="75">
        <v>1.0</v>
      </c>
      <c r="R20" s="72"/>
      <c r="S20" s="74" t="s">
        <v>631</v>
      </c>
      <c r="T20" s="3"/>
      <c r="U20" s="75">
        <v>10.0</v>
      </c>
      <c r="V20" s="72"/>
    </row>
    <row r="21" ht="14.25" customHeight="1">
      <c r="B21" s="73"/>
      <c r="C21" s="74" t="s">
        <v>832</v>
      </c>
      <c r="D21" s="3"/>
      <c r="E21" s="75">
        <v>1.0</v>
      </c>
      <c r="F21" s="70"/>
      <c r="G21" s="74" t="s">
        <v>833</v>
      </c>
      <c r="H21" s="3"/>
      <c r="I21" s="75">
        <v>3.0</v>
      </c>
      <c r="J21" s="71"/>
      <c r="K21" s="74" t="s">
        <v>834</v>
      </c>
      <c r="L21" s="3"/>
      <c r="M21" s="75">
        <v>4.0</v>
      </c>
      <c r="N21" s="72"/>
      <c r="O21" s="74" t="s">
        <v>835</v>
      </c>
      <c r="P21" s="3"/>
      <c r="Q21" s="75">
        <v>1.0</v>
      </c>
      <c r="R21" s="72"/>
      <c r="S21" s="74" t="s">
        <v>621</v>
      </c>
      <c r="T21" s="3"/>
      <c r="U21" s="75">
        <v>6.0</v>
      </c>
      <c r="V21" s="72"/>
    </row>
    <row r="22" ht="14.25" customHeight="1">
      <c r="B22" s="73"/>
      <c r="C22" s="74" t="s">
        <v>615</v>
      </c>
      <c r="D22" s="3"/>
      <c r="E22" s="75">
        <v>1.0</v>
      </c>
      <c r="F22" s="70"/>
      <c r="G22" s="74" t="s">
        <v>836</v>
      </c>
      <c r="H22" s="3"/>
      <c r="I22" s="75">
        <v>1.0</v>
      </c>
      <c r="J22" s="71"/>
      <c r="K22" s="74" t="s">
        <v>837</v>
      </c>
      <c r="L22" s="3"/>
      <c r="M22" s="75">
        <v>5.0</v>
      </c>
      <c r="N22" s="72"/>
      <c r="O22" s="74" t="s">
        <v>761</v>
      </c>
      <c r="P22" s="3"/>
      <c r="Q22" s="75">
        <v>2.0</v>
      </c>
      <c r="R22" s="72"/>
      <c r="S22" s="74" t="s">
        <v>635</v>
      </c>
      <c r="T22" s="3"/>
      <c r="U22" s="75">
        <v>10.0</v>
      </c>
      <c r="V22" s="72"/>
    </row>
    <row r="23" ht="14.25" customHeight="1">
      <c r="B23" s="73"/>
      <c r="C23" s="74" t="s">
        <v>749</v>
      </c>
      <c r="D23" s="3"/>
      <c r="E23" s="75">
        <v>1.0</v>
      </c>
      <c r="F23" s="70"/>
      <c r="G23" s="74" t="s">
        <v>838</v>
      </c>
      <c r="H23" s="3"/>
      <c r="I23" s="75">
        <v>1.0</v>
      </c>
      <c r="J23" s="71"/>
      <c r="K23" s="74" t="s">
        <v>839</v>
      </c>
      <c r="L23" s="3"/>
      <c r="M23" s="75">
        <v>3.0</v>
      </c>
      <c r="N23" s="72"/>
      <c r="O23" s="74" t="s">
        <v>840</v>
      </c>
      <c r="P23" s="3"/>
      <c r="Q23" s="75">
        <v>1.0</v>
      </c>
      <c r="R23" s="72"/>
      <c r="S23" s="74" t="s">
        <v>841</v>
      </c>
      <c r="T23" s="3"/>
      <c r="U23" s="75">
        <v>1.0</v>
      </c>
      <c r="V23" s="72"/>
    </row>
    <row r="24" ht="14.25" customHeight="1">
      <c r="B24" s="77"/>
      <c r="C24" s="78" t="s">
        <v>842</v>
      </c>
      <c r="D24" s="61"/>
      <c r="E24" s="79">
        <v>1.0</v>
      </c>
      <c r="F24" s="80">
        <f>SUM(E17:E24)</f>
        <v>58</v>
      </c>
      <c r="G24" s="78" t="s">
        <v>843</v>
      </c>
      <c r="H24" s="61"/>
      <c r="I24" s="79">
        <v>1.0</v>
      </c>
      <c r="J24" s="81">
        <f>SUM(I17:I24)</f>
        <v>122</v>
      </c>
      <c r="K24" s="78" t="s">
        <v>844</v>
      </c>
      <c r="L24" s="61"/>
      <c r="M24" s="79">
        <v>4.0</v>
      </c>
      <c r="N24" s="82">
        <f>SUM(M17:M24)</f>
        <v>97</v>
      </c>
      <c r="O24" s="78" t="s">
        <v>845</v>
      </c>
      <c r="P24" s="61"/>
      <c r="Q24" s="79">
        <v>1.0</v>
      </c>
      <c r="R24" s="82">
        <f>SUM(Q17:Q24)</f>
        <v>112</v>
      </c>
      <c r="S24" s="78" t="s">
        <v>846</v>
      </c>
      <c r="T24" s="61"/>
      <c r="U24" s="79">
        <v>4.0</v>
      </c>
      <c r="V24" s="82">
        <f>SUM(U17:U24)</f>
        <v>102</v>
      </c>
    </row>
    <row r="25" ht="14.25" customHeight="1">
      <c r="B25" s="83"/>
      <c r="C25" s="84" t="s">
        <v>775</v>
      </c>
      <c r="D25" s="68"/>
      <c r="E25" s="85">
        <v>212.0</v>
      </c>
      <c r="F25" s="86"/>
      <c r="G25" s="84" t="s">
        <v>773</v>
      </c>
      <c r="H25" s="68"/>
      <c r="I25" s="85">
        <v>126.0</v>
      </c>
      <c r="J25" s="87"/>
      <c r="K25" s="84" t="s">
        <v>768</v>
      </c>
      <c r="L25" s="68"/>
      <c r="M25" s="85">
        <v>116.0</v>
      </c>
      <c r="N25" s="88"/>
      <c r="O25" s="84" t="s">
        <v>769</v>
      </c>
      <c r="P25" s="68"/>
      <c r="Q25" s="85">
        <v>210.0</v>
      </c>
      <c r="R25" s="88"/>
      <c r="S25" s="84" t="s">
        <v>767</v>
      </c>
      <c r="T25" s="68"/>
      <c r="U25" s="85">
        <v>190.0</v>
      </c>
      <c r="V25" s="88"/>
    </row>
    <row r="26" ht="14.25" customHeight="1">
      <c r="B26" s="89"/>
      <c r="C26" s="90" t="s">
        <v>847</v>
      </c>
      <c r="D26" s="3"/>
      <c r="E26" s="91">
        <v>60.0</v>
      </c>
      <c r="F26" s="86"/>
      <c r="G26" s="90" t="s">
        <v>650</v>
      </c>
      <c r="H26" s="3"/>
      <c r="I26" s="91">
        <v>33.0</v>
      </c>
      <c r="J26" s="87"/>
      <c r="K26" s="90" t="s">
        <v>731</v>
      </c>
      <c r="L26" s="3"/>
      <c r="M26" s="91">
        <v>123.0</v>
      </c>
      <c r="N26" s="88"/>
      <c r="O26" s="90" t="s">
        <v>641</v>
      </c>
      <c r="P26" s="3"/>
      <c r="Q26" s="91">
        <v>4.0</v>
      </c>
      <c r="R26" s="88"/>
      <c r="S26" s="90" t="s">
        <v>788</v>
      </c>
      <c r="T26" s="3"/>
      <c r="U26" s="91">
        <v>54.0</v>
      </c>
      <c r="V26" s="88"/>
    </row>
    <row r="27" ht="14.25" customHeight="1">
      <c r="B27" s="92" t="s">
        <v>131</v>
      </c>
      <c r="C27" s="90" t="s">
        <v>848</v>
      </c>
      <c r="D27" s="3"/>
      <c r="E27" s="91">
        <v>57.0</v>
      </c>
      <c r="F27" s="86"/>
      <c r="G27" s="90" t="s">
        <v>654</v>
      </c>
      <c r="H27" s="3"/>
      <c r="I27" s="91">
        <v>47.0</v>
      </c>
      <c r="J27" s="87"/>
      <c r="K27" s="90" t="s">
        <v>849</v>
      </c>
      <c r="L27" s="3"/>
      <c r="M27" s="91">
        <v>29.0</v>
      </c>
      <c r="N27" s="88"/>
      <c r="O27" s="90" t="s">
        <v>792</v>
      </c>
      <c r="P27" s="3"/>
      <c r="Q27" s="91">
        <v>10.0</v>
      </c>
      <c r="R27" s="88"/>
      <c r="S27" s="90" t="s">
        <v>850</v>
      </c>
      <c r="T27" s="3"/>
      <c r="U27" s="91">
        <v>42.0</v>
      </c>
      <c r="V27" s="88"/>
    </row>
    <row r="28" ht="14.25" customHeight="1">
      <c r="B28" s="89"/>
      <c r="C28" s="90" t="s">
        <v>851</v>
      </c>
      <c r="D28" s="3"/>
      <c r="E28" s="91">
        <v>1.0</v>
      </c>
      <c r="F28" s="86"/>
      <c r="G28" s="90" t="s">
        <v>779</v>
      </c>
      <c r="H28" s="3"/>
      <c r="I28" s="91">
        <v>1.0</v>
      </c>
      <c r="J28" s="87"/>
      <c r="K28" s="90" t="s">
        <v>852</v>
      </c>
      <c r="L28" s="3"/>
      <c r="M28" s="91">
        <v>18.0</v>
      </c>
      <c r="N28" s="88"/>
      <c r="O28" s="90" t="s">
        <v>853</v>
      </c>
      <c r="P28" s="3"/>
      <c r="Q28" s="91">
        <v>15.0</v>
      </c>
      <c r="R28" s="88"/>
      <c r="S28" s="90" t="s">
        <v>854</v>
      </c>
      <c r="T28" s="3"/>
      <c r="U28" s="91">
        <v>3.0</v>
      </c>
      <c r="V28" s="88"/>
    </row>
    <row r="29" ht="14.25" customHeight="1">
      <c r="B29" s="89"/>
      <c r="C29" s="90" t="s">
        <v>855</v>
      </c>
      <c r="D29" s="3"/>
      <c r="E29" s="91">
        <v>1.0</v>
      </c>
      <c r="F29" s="86"/>
      <c r="G29" s="90" t="s">
        <v>658</v>
      </c>
      <c r="H29" s="3"/>
      <c r="I29" s="91">
        <v>27.0</v>
      </c>
      <c r="J29" s="87"/>
      <c r="K29" s="90" t="s">
        <v>856</v>
      </c>
      <c r="L29" s="3"/>
      <c r="M29" s="91">
        <v>4.0</v>
      </c>
      <c r="N29" s="88"/>
      <c r="O29" s="90" t="s">
        <v>857</v>
      </c>
      <c r="P29" s="3"/>
      <c r="Q29" s="91">
        <v>1.0</v>
      </c>
      <c r="R29" s="88"/>
      <c r="S29" s="90" t="s">
        <v>781</v>
      </c>
      <c r="T29" s="3"/>
      <c r="U29" s="91">
        <v>14.0</v>
      </c>
      <c r="V29" s="88"/>
    </row>
    <row r="30" ht="14.25" customHeight="1">
      <c r="B30" s="93"/>
      <c r="C30" s="94" t="s">
        <v>858</v>
      </c>
      <c r="D30" s="61"/>
      <c r="E30" s="95">
        <v>1.0</v>
      </c>
      <c r="F30" s="96">
        <f>SUM(E25:E30)</f>
        <v>332</v>
      </c>
      <c r="G30" s="94" t="s">
        <v>859</v>
      </c>
      <c r="H30" s="61"/>
      <c r="I30" s="95">
        <v>1.0</v>
      </c>
      <c r="J30" s="97">
        <f>SUM(I25:I30)</f>
        <v>235</v>
      </c>
      <c r="K30" s="94" t="s">
        <v>860</v>
      </c>
      <c r="L30" s="61"/>
      <c r="M30" s="95">
        <v>3.0</v>
      </c>
      <c r="N30" s="98">
        <f>SUM(M25:M30)</f>
        <v>293</v>
      </c>
      <c r="O30" s="94" t="s">
        <v>770</v>
      </c>
      <c r="P30" s="61"/>
      <c r="Q30" s="95">
        <v>1.0</v>
      </c>
      <c r="R30" s="98">
        <f>SUM(Q25:Q30)</f>
        <v>241</v>
      </c>
      <c r="S30" s="94" t="s">
        <v>652</v>
      </c>
      <c r="T30" s="61"/>
      <c r="U30" s="95">
        <v>1.0</v>
      </c>
      <c r="V30" s="98">
        <f>SUM(U25:U30)</f>
        <v>304</v>
      </c>
    </row>
    <row r="31" ht="14.25" customHeight="1">
      <c r="C31" s="99" t="s">
        <v>152</v>
      </c>
      <c r="D31" s="100"/>
      <c r="E31" s="28">
        <f>SUM(E6:E30)</f>
        <v>497</v>
      </c>
      <c r="F31" s="101"/>
      <c r="G31" s="99" t="s">
        <v>152</v>
      </c>
      <c r="H31" s="100"/>
      <c r="I31" s="28">
        <f>SUM(I6:I30)</f>
        <v>498</v>
      </c>
      <c r="J31" s="101"/>
      <c r="K31" s="23" t="s">
        <v>152</v>
      </c>
      <c r="L31" s="22"/>
      <c r="M31" s="102">
        <f>SUM(M6:M30)</f>
        <v>497</v>
      </c>
      <c r="N31" s="101"/>
      <c r="O31" s="23" t="s">
        <v>152</v>
      </c>
      <c r="P31" s="22"/>
      <c r="Q31" s="102">
        <f>SUM(Q6:Q30)</f>
        <v>481</v>
      </c>
      <c r="R31" s="101"/>
      <c r="S31" s="23" t="s">
        <v>152</v>
      </c>
      <c r="T31" s="22"/>
      <c r="U31" s="102">
        <f>SUM(U6:U30)</f>
        <v>495</v>
      </c>
      <c r="V31" s="101"/>
    </row>
    <row r="32" ht="14.25" customHeight="1">
      <c r="C32" s="23" t="s">
        <v>153</v>
      </c>
      <c r="D32" s="22"/>
      <c r="E32" s="121">
        <f>500-E31</f>
        <v>3</v>
      </c>
      <c r="F32" s="103"/>
      <c r="G32" s="23" t="s">
        <v>153</v>
      </c>
      <c r="H32" s="22"/>
      <c r="I32" s="102">
        <f>500-I31</f>
        <v>2</v>
      </c>
      <c r="J32" s="103"/>
      <c r="K32" s="23" t="s">
        <v>153</v>
      </c>
      <c r="L32" s="22"/>
      <c r="M32" s="102">
        <f>500-M31</f>
        <v>3</v>
      </c>
      <c r="N32" s="103"/>
      <c r="O32" s="23" t="s">
        <v>153</v>
      </c>
      <c r="P32" s="22"/>
      <c r="Q32" s="102">
        <f>500-Q31</f>
        <v>19</v>
      </c>
      <c r="R32" s="103"/>
      <c r="S32" s="23" t="s">
        <v>153</v>
      </c>
      <c r="T32" s="22"/>
      <c r="U32" s="102">
        <f>500-U31</f>
        <v>5</v>
      </c>
      <c r="V32" s="103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C39" s="24" t="s">
        <v>667</v>
      </c>
      <c r="D39" s="21"/>
      <c r="E39" s="21"/>
      <c r="F39" s="22"/>
      <c r="G39" s="24" t="s">
        <v>861</v>
      </c>
      <c r="H39" s="21"/>
      <c r="I39" s="21"/>
      <c r="J39" s="22"/>
      <c r="K39" s="24" t="s">
        <v>669</v>
      </c>
      <c r="L39" s="21"/>
      <c r="M39" s="21"/>
      <c r="N39" s="22"/>
      <c r="O39" s="24" t="s">
        <v>670</v>
      </c>
      <c r="P39" s="21"/>
      <c r="Q39" s="21"/>
      <c r="R39" s="22"/>
      <c r="S39" s="24" t="s">
        <v>17</v>
      </c>
      <c r="T39" s="21"/>
      <c r="U39" s="21"/>
      <c r="V39" s="22"/>
    </row>
    <row r="40" ht="14.25" customHeight="1">
      <c r="C40" s="29" t="s">
        <v>20</v>
      </c>
      <c r="D40" s="122"/>
      <c r="E40" s="102" t="s">
        <v>21</v>
      </c>
      <c r="F40" s="102" t="s">
        <v>22</v>
      </c>
      <c r="G40" s="29" t="s">
        <v>20</v>
      </c>
      <c r="H40" s="30"/>
      <c r="I40" s="31" t="s">
        <v>21</v>
      </c>
      <c r="J40" s="28" t="s">
        <v>22</v>
      </c>
      <c r="K40" s="29" t="s">
        <v>20</v>
      </c>
      <c r="L40" s="30"/>
      <c r="M40" s="31" t="s">
        <v>21</v>
      </c>
      <c r="N40" s="28" t="s">
        <v>22</v>
      </c>
      <c r="O40" s="29" t="s">
        <v>20</v>
      </c>
      <c r="P40" s="30"/>
      <c r="Q40" s="31" t="s">
        <v>21</v>
      </c>
      <c r="R40" s="28" t="s">
        <v>22</v>
      </c>
      <c r="S40" s="29" t="s">
        <v>20</v>
      </c>
      <c r="T40" s="30"/>
      <c r="U40" s="31" t="s">
        <v>21</v>
      </c>
      <c r="V40" s="28" t="s">
        <v>22</v>
      </c>
    </row>
    <row r="41" ht="14.25" customHeight="1">
      <c r="B41" s="104"/>
      <c r="C41" s="33" t="s">
        <v>543</v>
      </c>
      <c r="D41" s="34"/>
      <c r="E41" s="123">
        <v>55.0</v>
      </c>
      <c r="F41" s="124"/>
      <c r="G41" s="33" t="s">
        <v>673</v>
      </c>
      <c r="H41" s="34"/>
      <c r="I41" s="35">
        <v>51.0</v>
      </c>
      <c r="J41" s="38"/>
      <c r="K41" s="33" t="s">
        <v>862</v>
      </c>
      <c r="L41" s="34"/>
      <c r="M41" s="35">
        <v>60.0</v>
      </c>
      <c r="N41" s="38"/>
      <c r="O41" s="33" t="s">
        <v>863</v>
      </c>
      <c r="P41" s="34"/>
      <c r="Q41" s="35">
        <v>13.0</v>
      </c>
      <c r="R41" s="38"/>
      <c r="S41" s="33" t="s">
        <v>546</v>
      </c>
      <c r="T41" s="34"/>
      <c r="U41" s="35">
        <v>47.0</v>
      </c>
      <c r="V41" s="38"/>
    </row>
    <row r="42" ht="14.25" customHeight="1">
      <c r="B42" s="105" t="s">
        <v>28</v>
      </c>
      <c r="C42" s="33" t="s">
        <v>548</v>
      </c>
      <c r="D42" s="34"/>
      <c r="E42" s="41">
        <v>5.0</v>
      </c>
      <c r="F42" s="38"/>
      <c r="G42" s="33" t="s">
        <v>554</v>
      </c>
      <c r="H42" s="34"/>
      <c r="I42" s="41">
        <v>1.0</v>
      </c>
      <c r="J42" s="38"/>
      <c r="K42" s="33" t="s">
        <v>681</v>
      </c>
      <c r="L42" s="34"/>
      <c r="M42" s="41">
        <v>1.0</v>
      </c>
      <c r="N42" s="38"/>
      <c r="O42" s="33" t="s">
        <v>555</v>
      </c>
      <c r="P42" s="34"/>
      <c r="Q42" s="41">
        <v>1.0</v>
      </c>
      <c r="R42" s="38"/>
      <c r="S42" s="33" t="s">
        <v>675</v>
      </c>
      <c r="T42" s="34"/>
      <c r="U42" s="41">
        <v>1.0</v>
      </c>
      <c r="V42" s="38"/>
    </row>
    <row r="43" ht="14.25" customHeight="1">
      <c r="B43" s="106"/>
      <c r="C43" s="119" t="s">
        <v>553</v>
      </c>
      <c r="D43" s="120"/>
      <c r="E43" s="45">
        <v>1.0</v>
      </c>
      <c r="F43" s="48">
        <f>SUM(E41:E43)</f>
        <v>61</v>
      </c>
      <c r="G43" s="119" t="s">
        <v>864</v>
      </c>
      <c r="H43" s="120"/>
      <c r="I43" s="45">
        <v>1.0</v>
      </c>
      <c r="J43" s="48">
        <f>SUM(I41:I43)</f>
        <v>53</v>
      </c>
      <c r="K43" s="119" t="s">
        <v>865</v>
      </c>
      <c r="L43" s="120"/>
      <c r="M43" s="45">
        <v>1.0</v>
      </c>
      <c r="N43" s="48">
        <f>SUM(M41:M43)</f>
        <v>62</v>
      </c>
      <c r="O43" s="119" t="s">
        <v>679</v>
      </c>
      <c r="P43" s="120"/>
      <c r="Q43" s="45">
        <v>8.0</v>
      </c>
      <c r="R43" s="48">
        <f>SUM(Q41:Q43)</f>
        <v>22</v>
      </c>
      <c r="S43" s="119" t="s">
        <v>866</v>
      </c>
      <c r="T43" s="120"/>
      <c r="U43" s="45">
        <v>1.0</v>
      </c>
      <c r="V43" s="48">
        <f>SUM(U41:U43)</f>
        <v>49</v>
      </c>
    </row>
    <row r="44" ht="14.25" customHeight="1">
      <c r="B44" s="107"/>
      <c r="C44" s="50" t="s">
        <v>690</v>
      </c>
      <c r="D44" s="34"/>
      <c r="E44" s="57">
        <v>27.0</v>
      </c>
      <c r="F44" s="54"/>
      <c r="G44" s="50" t="s">
        <v>559</v>
      </c>
      <c r="H44" s="34"/>
      <c r="I44" s="51">
        <v>42.0</v>
      </c>
      <c r="J44" s="54"/>
      <c r="K44" s="50" t="s">
        <v>566</v>
      </c>
      <c r="L44" s="34"/>
      <c r="M44" s="51">
        <v>24.0</v>
      </c>
      <c r="N44" s="54"/>
      <c r="O44" s="50" t="s">
        <v>867</v>
      </c>
      <c r="P44" s="34"/>
      <c r="Q44" s="51">
        <v>18.0</v>
      </c>
      <c r="R44" s="54"/>
      <c r="S44" s="50" t="s">
        <v>713</v>
      </c>
      <c r="T44" s="34"/>
      <c r="U44" s="51">
        <v>17.0</v>
      </c>
      <c r="V44" s="54"/>
    </row>
    <row r="45" ht="14.25" customHeight="1">
      <c r="B45" s="108"/>
      <c r="C45" s="56" t="s">
        <v>718</v>
      </c>
      <c r="D45" s="3"/>
      <c r="E45" s="57">
        <v>9.0</v>
      </c>
      <c r="F45" s="54"/>
      <c r="G45" s="56" t="s">
        <v>868</v>
      </c>
      <c r="H45" s="3"/>
      <c r="I45" s="57">
        <v>9.0</v>
      </c>
      <c r="J45" s="54"/>
      <c r="K45" s="56" t="s">
        <v>717</v>
      </c>
      <c r="L45" s="3"/>
      <c r="M45" s="57">
        <v>11.0</v>
      </c>
      <c r="N45" s="54"/>
      <c r="O45" s="56" t="s">
        <v>565</v>
      </c>
      <c r="P45" s="3"/>
      <c r="Q45" s="57">
        <v>31.0</v>
      </c>
      <c r="R45" s="54"/>
      <c r="S45" s="56" t="s">
        <v>869</v>
      </c>
      <c r="T45" s="3"/>
      <c r="U45" s="51">
        <v>10.0</v>
      </c>
      <c r="V45" s="54"/>
    </row>
    <row r="46" ht="14.25" customHeight="1">
      <c r="B46" s="108"/>
      <c r="C46" s="56" t="s">
        <v>870</v>
      </c>
      <c r="D46" s="3"/>
      <c r="E46" s="57">
        <v>13.0</v>
      </c>
      <c r="F46" s="54"/>
      <c r="G46" s="56" t="s">
        <v>871</v>
      </c>
      <c r="H46" s="3"/>
      <c r="I46" s="57">
        <v>4.0</v>
      </c>
      <c r="J46" s="54"/>
      <c r="K46" s="56" t="s">
        <v>872</v>
      </c>
      <c r="L46" s="3"/>
      <c r="M46" s="57">
        <v>7.0</v>
      </c>
      <c r="N46" s="54"/>
      <c r="O46" s="56" t="s">
        <v>570</v>
      </c>
      <c r="P46" s="3"/>
      <c r="Q46" s="57">
        <v>6.0</v>
      </c>
      <c r="R46" s="54"/>
      <c r="S46" s="56" t="s">
        <v>692</v>
      </c>
      <c r="T46" s="3"/>
      <c r="U46" s="57">
        <v>7.0</v>
      </c>
      <c r="V46" s="54"/>
    </row>
    <row r="47" ht="14.25" customHeight="1">
      <c r="B47" s="109" t="s">
        <v>54</v>
      </c>
      <c r="C47" s="56" t="s">
        <v>873</v>
      </c>
      <c r="D47" s="3"/>
      <c r="E47" s="57">
        <v>3.0</v>
      </c>
      <c r="F47" s="54"/>
      <c r="G47" s="56" t="s">
        <v>874</v>
      </c>
      <c r="H47" s="3"/>
      <c r="I47" s="57">
        <v>10.0</v>
      </c>
      <c r="J47" s="54"/>
      <c r="K47" s="56" t="s">
        <v>875</v>
      </c>
      <c r="L47" s="3"/>
      <c r="M47" s="57">
        <v>7.0</v>
      </c>
      <c r="N47" s="54"/>
      <c r="O47" s="56" t="s">
        <v>876</v>
      </c>
      <c r="P47" s="3"/>
      <c r="Q47" s="57">
        <v>7.0</v>
      </c>
      <c r="R47" s="54"/>
      <c r="S47" s="56" t="s">
        <v>877</v>
      </c>
      <c r="T47" s="3"/>
      <c r="U47" s="57">
        <v>3.0</v>
      </c>
      <c r="V47" s="54"/>
    </row>
    <row r="48" ht="14.25" customHeight="1">
      <c r="B48" s="108"/>
      <c r="C48" s="56" t="s">
        <v>878</v>
      </c>
      <c r="D48" s="3"/>
      <c r="E48" s="57">
        <v>6.0</v>
      </c>
      <c r="F48" s="54"/>
      <c r="G48" s="56" t="s">
        <v>879</v>
      </c>
      <c r="H48" s="3"/>
      <c r="I48" s="57">
        <v>5.0</v>
      </c>
      <c r="J48" s="54"/>
      <c r="K48" s="56" t="s">
        <v>586</v>
      </c>
      <c r="L48" s="3"/>
      <c r="M48" s="57">
        <v>4.0</v>
      </c>
      <c r="N48" s="54"/>
      <c r="O48" s="56" t="s">
        <v>689</v>
      </c>
      <c r="P48" s="3"/>
      <c r="Q48" s="57">
        <v>16.0</v>
      </c>
      <c r="R48" s="54"/>
      <c r="S48" s="56" t="s">
        <v>580</v>
      </c>
      <c r="T48" s="3"/>
      <c r="U48" s="57">
        <v>9.0</v>
      </c>
      <c r="V48" s="54"/>
    </row>
    <row r="49" ht="14.25" customHeight="1">
      <c r="B49" s="108"/>
      <c r="C49" s="56" t="s">
        <v>589</v>
      </c>
      <c r="D49" s="3"/>
      <c r="E49" s="57">
        <v>3.0</v>
      </c>
      <c r="F49" s="54"/>
      <c r="G49" s="56" t="s">
        <v>722</v>
      </c>
      <c r="H49" s="3"/>
      <c r="I49" s="57">
        <v>9.0</v>
      </c>
      <c r="J49" s="54"/>
      <c r="K49" s="56" t="s">
        <v>880</v>
      </c>
      <c r="L49" s="3"/>
      <c r="M49" s="57">
        <v>3.0</v>
      </c>
      <c r="N49" s="54"/>
      <c r="O49" s="56" t="s">
        <v>720</v>
      </c>
      <c r="P49" s="3"/>
      <c r="Q49" s="57">
        <v>5.0</v>
      </c>
      <c r="R49" s="54"/>
      <c r="S49" s="56" t="s">
        <v>592</v>
      </c>
      <c r="T49" s="3"/>
      <c r="U49" s="57">
        <v>4.0</v>
      </c>
      <c r="V49" s="54"/>
    </row>
    <row r="50" ht="14.25" customHeight="1">
      <c r="B50" s="108"/>
      <c r="C50" s="56" t="s">
        <v>881</v>
      </c>
      <c r="D50" s="3"/>
      <c r="E50" s="57">
        <v>3.0</v>
      </c>
      <c r="F50" s="54"/>
      <c r="G50" s="56" t="s">
        <v>882</v>
      </c>
      <c r="H50" s="3"/>
      <c r="I50" s="57">
        <v>2.0</v>
      </c>
      <c r="J50" s="54"/>
      <c r="K50" s="56" t="s">
        <v>883</v>
      </c>
      <c r="L50" s="3"/>
      <c r="M50" s="57">
        <v>1.0</v>
      </c>
      <c r="N50" s="54"/>
      <c r="O50" s="56" t="s">
        <v>884</v>
      </c>
      <c r="P50" s="3"/>
      <c r="Q50" s="57">
        <v>1.0</v>
      </c>
      <c r="R50" s="54"/>
      <c r="S50" s="56" t="s">
        <v>704</v>
      </c>
      <c r="T50" s="3"/>
      <c r="U50" s="57">
        <v>1.0</v>
      </c>
      <c r="V50" s="54"/>
    </row>
    <row r="51" ht="14.25" customHeight="1">
      <c r="B51" s="110"/>
      <c r="C51" s="60" t="s">
        <v>751</v>
      </c>
      <c r="D51" s="61"/>
      <c r="E51" s="62">
        <v>7.0</v>
      </c>
      <c r="F51" s="65">
        <f>SUM(E44:E51)</f>
        <v>71</v>
      </c>
      <c r="G51" s="60" t="s">
        <v>885</v>
      </c>
      <c r="H51" s="61"/>
      <c r="I51" s="62">
        <v>1.0</v>
      </c>
      <c r="J51" s="65">
        <f>SUM(I44:I51)</f>
        <v>82</v>
      </c>
      <c r="K51" s="60" t="s">
        <v>886</v>
      </c>
      <c r="L51" s="61"/>
      <c r="M51" s="62">
        <v>1.0</v>
      </c>
      <c r="N51" s="65">
        <f>SUM(M44:M51)</f>
        <v>58</v>
      </c>
      <c r="O51" s="60" t="s">
        <v>567</v>
      </c>
      <c r="P51" s="61"/>
      <c r="Q51" s="62">
        <v>1.0</v>
      </c>
      <c r="R51" s="65">
        <f>SUM(Q44:Q51)</f>
        <v>85</v>
      </c>
      <c r="S51" s="60" t="s">
        <v>887</v>
      </c>
      <c r="T51" s="61"/>
      <c r="U51" s="62">
        <v>2.0</v>
      </c>
      <c r="V51" s="65">
        <f>SUM(U44:U51)</f>
        <v>53</v>
      </c>
      <c r="W51" s="125" t="s">
        <v>464</v>
      </c>
    </row>
    <row r="52" ht="14.25" customHeight="1">
      <c r="B52" s="111"/>
      <c r="C52" s="67" t="s">
        <v>733</v>
      </c>
      <c r="D52" s="68"/>
      <c r="E52" s="69">
        <v>35.0</v>
      </c>
      <c r="F52" s="72"/>
      <c r="G52" s="67" t="s">
        <v>606</v>
      </c>
      <c r="H52" s="68"/>
      <c r="I52" s="69">
        <v>30.0</v>
      </c>
      <c r="J52" s="72"/>
      <c r="K52" s="67" t="s">
        <v>729</v>
      </c>
      <c r="L52" s="68"/>
      <c r="M52" s="69">
        <v>25.0</v>
      </c>
      <c r="N52" s="72"/>
      <c r="O52" s="67" t="s">
        <v>607</v>
      </c>
      <c r="P52" s="68"/>
      <c r="Q52" s="69">
        <v>39.0</v>
      </c>
      <c r="R52" s="72"/>
      <c r="S52" s="67" t="s">
        <v>602</v>
      </c>
      <c r="T52" s="68"/>
      <c r="U52" s="69">
        <v>42.0</v>
      </c>
      <c r="V52" s="72"/>
    </row>
    <row r="53" ht="14.25" customHeight="1">
      <c r="B53" s="112"/>
      <c r="C53" s="74" t="s">
        <v>728</v>
      </c>
      <c r="D53" s="3"/>
      <c r="E53" s="75">
        <v>29.0</v>
      </c>
      <c r="F53" s="72"/>
      <c r="G53" s="74" t="s">
        <v>737</v>
      </c>
      <c r="H53" s="3"/>
      <c r="I53" s="75">
        <v>31.0</v>
      </c>
      <c r="J53" s="72"/>
      <c r="K53" s="74" t="s">
        <v>734</v>
      </c>
      <c r="L53" s="3"/>
      <c r="M53" s="75">
        <v>22.0</v>
      </c>
      <c r="N53" s="72"/>
      <c r="O53" s="74" t="s">
        <v>732</v>
      </c>
      <c r="P53" s="3"/>
      <c r="Q53" s="75">
        <v>20.0</v>
      </c>
      <c r="R53" s="72"/>
      <c r="S53" s="74" t="s">
        <v>888</v>
      </c>
      <c r="T53" s="3"/>
      <c r="U53" s="75">
        <v>25.0</v>
      </c>
      <c r="V53" s="72"/>
    </row>
    <row r="54" ht="14.25" customHeight="1">
      <c r="B54" s="112"/>
      <c r="C54" s="74" t="s">
        <v>616</v>
      </c>
      <c r="D54" s="3"/>
      <c r="E54" s="75">
        <v>8.0</v>
      </c>
      <c r="F54" s="72"/>
      <c r="G54" s="74" t="s">
        <v>730</v>
      </c>
      <c r="H54" s="3"/>
      <c r="I54" s="75">
        <v>48.0</v>
      </c>
      <c r="J54" s="72"/>
      <c r="K54" s="74" t="s">
        <v>756</v>
      </c>
      <c r="L54" s="3"/>
      <c r="M54" s="75">
        <v>11.0</v>
      </c>
      <c r="N54" s="72"/>
      <c r="O54" s="74" t="s">
        <v>889</v>
      </c>
      <c r="P54" s="3"/>
      <c r="Q54" s="75">
        <v>13.0</v>
      </c>
      <c r="R54" s="72"/>
      <c r="S54" s="74" t="s">
        <v>739</v>
      </c>
      <c r="T54" s="3"/>
      <c r="U54" s="75">
        <v>26.0</v>
      </c>
      <c r="V54" s="72"/>
    </row>
    <row r="55" ht="14.25" customHeight="1">
      <c r="B55" s="113" t="s">
        <v>95</v>
      </c>
      <c r="C55" s="74" t="s">
        <v>890</v>
      </c>
      <c r="D55" s="3"/>
      <c r="E55" s="75">
        <v>10.0</v>
      </c>
      <c r="F55" s="72"/>
      <c r="G55" s="74" t="s">
        <v>891</v>
      </c>
      <c r="H55" s="3"/>
      <c r="I55" s="75">
        <v>1.0</v>
      </c>
      <c r="J55" s="72"/>
      <c r="K55" s="74" t="s">
        <v>740</v>
      </c>
      <c r="L55" s="3"/>
      <c r="M55" s="75">
        <v>5.0</v>
      </c>
      <c r="N55" s="72"/>
      <c r="O55" s="74" t="s">
        <v>892</v>
      </c>
      <c r="P55" s="3"/>
      <c r="Q55" s="75">
        <v>1.0</v>
      </c>
      <c r="R55" s="72"/>
      <c r="S55" s="74" t="s">
        <v>741</v>
      </c>
      <c r="T55" s="3"/>
      <c r="U55" s="75">
        <v>15.0</v>
      </c>
      <c r="V55" s="72"/>
    </row>
    <row r="56" ht="14.25" customHeight="1">
      <c r="B56" s="112"/>
      <c r="C56" s="74" t="s">
        <v>763</v>
      </c>
      <c r="D56" s="3"/>
      <c r="E56" s="75">
        <v>22.0</v>
      </c>
      <c r="F56" s="72"/>
      <c r="G56" s="74" t="s">
        <v>893</v>
      </c>
      <c r="H56" s="3"/>
      <c r="I56" s="75">
        <v>1.0</v>
      </c>
      <c r="J56" s="72"/>
      <c r="K56" s="74" t="s">
        <v>748</v>
      </c>
      <c r="L56" s="3"/>
      <c r="M56" s="75">
        <v>2.0</v>
      </c>
      <c r="N56" s="72"/>
      <c r="O56" s="74" t="s">
        <v>894</v>
      </c>
      <c r="P56" s="3"/>
      <c r="Q56" s="75">
        <v>5.0</v>
      </c>
      <c r="R56" s="72"/>
      <c r="S56" s="74" t="s">
        <v>895</v>
      </c>
      <c r="T56" s="3"/>
      <c r="U56" s="75">
        <v>6.0</v>
      </c>
      <c r="V56" s="72"/>
    </row>
    <row r="57" ht="14.25" customHeight="1">
      <c r="B57" s="112"/>
      <c r="C57" s="74" t="s">
        <v>747</v>
      </c>
      <c r="D57" s="3"/>
      <c r="E57" s="75">
        <v>4.0</v>
      </c>
      <c r="F57" s="72"/>
      <c r="G57" s="74" t="s">
        <v>743</v>
      </c>
      <c r="H57" s="3"/>
      <c r="I57" s="75">
        <v>2.0</v>
      </c>
      <c r="J57" s="72"/>
      <c r="K57" s="74" t="s">
        <v>614</v>
      </c>
      <c r="L57" s="3"/>
      <c r="M57" s="75">
        <v>3.0</v>
      </c>
      <c r="N57" s="72"/>
      <c r="O57" s="74" t="s">
        <v>896</v>
      </c>
      <c r="P57" s="3"/>
      <c r="Q57" s="75">
        <v>11.0</v>
      </c>
      <c r="R57" s="72"/>
      <c r="S57" s="74" t="s">
        <v>753</v>
      </c>
      <c r="T57" s="3"/>
      <c r="U57" s="75">
        <v>1.0</v>
      </c>
      <c r="V57" s="72"/>
    </row>
    <row r="58" ht="14.25" customHeight="1">
      <c r="B58" s="112"/>
      <c r="C58" s="74" t="s">
        <v>897</v>
      </c>
      <c r="D58" s="3"/>
      <c r="E58" s="75">
        <v>1.0</v>
      </c>
      <c r="F58" s="72"/>
      <c r="G58" s="74" t="s">
        <v>898</v>
      </c>
      <c r="H58" s="3"/>
      <c r="I58" s="75">
        <v>1.0</v>
      </c>
      <c r="J58" s="72"/>
      <c r="K58" s="74" t="s">
        <v>754</v>
      </c>
      <c r="L58" s="3"/>
      <c r="M58" s="75">
        <v>10.0</v>
      </c>
      <c r="N58" s="72"/>
      <c r="O58" s="74" t="s">
        <v>899</v>
      </c>
      <c r="P58" s="3"/>
      <c r="Q58" s="75">
        <v>1.0</v>
      </c>
      <c r="R58" s="72"/>
      <c r="S58" s="74" t="s">
        <v>612</v>
      </c>
      <c r="T58" s="3"/>
      <c r="U58" s="75">
        <v>6.0</v>
      </c>
      <c r="V58" s="72"/>
    </row>
    <row r="59" ht="14.25" customHeight="1">
      <c r="B59" s="114"/>
      <c r="C59" s="78" t="s">
        <v>900</v>
      </c>
      <c r="D59" s="61"/>
      <c r="E59" s="79">
        <v>1.0</v>
      </c>
      <c r="F59" s="82">
        <f>SUM(E52:E59)</f>
        <v>110</v>
      </c>
      <c r="G59" s="78" t="s">
        <v>901</v>
      </c>
      <c r="H59" s="61"/>
      <c r="I59" s="79">
        <v>1.0</v>
      </c>
      <c r="J59" s="82">
        <f>SUM(I52:I59)</f>
        <v>115</v>
      </c>
      <c r="K59" s="78" t="s">
        <v>902</v>
      </c>
      <c r="L59" s="61"/>
      <c r="M59" s="79">
        <v>2.0</v>
      </c>
      <c r="N59" s="82">
        <f>SUM(M52:M59)</f>
        <v>80</v>
      </c>
      <c r="O59" s="78" t="s">
        <v>903</v>
      </c>
      <c r="P59" s="61"/>
      <c r="Q59" s="79">
        <v>1.0</v>
      </c>
      <c r="R59" s="82">
        <f>SUM(Q52:Q59)</f>
        <v>91</v>
      </c>
      <c r="S59" s="78" t="s">
        <v>625</v>
      </c>
      <c r="T59" s="61"/>
      <c r="U59" s="79">
        <v>1.0</v>
      </c>
      <c r="V59" s="82">
        <f>SUM(U52:U59)</f>
        <v>122</v>
      </c>
    </row>
    <row r="60" ht="14.25" customHeight="1">
      <c r="B60" s="115"/>
      <c r="C60" s="84" t="s">
        <v>771</v>
      </c>
      <c r="D60" s="68"/>
      <c r="E60" s="85">
        <v>181.0</v>
      </c>
      <c r="F60" s="88"/>
      <c r="G60" s="84" t="s">
        <v>904</v>
      </c>
      <c r="H60" s="68"/>
      <c r="I60" s="85">
        <v>87.0</v>
      </c>
      <c r="J60" s="88"/>
      <c r="K60" s="84" t="s">
        <v>642</v>
      </c>
      <c r="L60" s="68"/>
      <c r="M60" s="85">
        <v>190.0</v>
      </c>
      <c r="N60" s="88"/>
      <c r="O60" s="84" t="s">
        <v>905</v>
      </c>
      <c r="P60" s="68"/>
      <c r="Q60" s="85">
        <v>117.0</v>
      </c>
      <c r="R60" s="88"/>
      <c r="S60" s="84" t="s">
        <v>639</v>
      </c>
      <c r="T60" s="68"/>
      <c r="U60" s="85">
        <v>161.0</v>
      </c>
      <c r="V60" s="88"/>
    </row>
    <row r="61" ht="14.25" customHeight="1">
      <c r="B61" s="116"/>
      <c r="C61" s="90" t="s">
        <v>789</v>
      </c>
      <c r="D61" s="3"/>
      <c r="E61" s="91">
        <v>14.0</v>
      </c>
      <c r="F61" s="88"/>
      <c r="G61" s="90" t="s">
        <v>784</v>
      </c>
      <c r="H61" s="3"/>
      <c r="I61" s="91">
        <v>47.0</v>
      </c>
      <c r="J61" s="88"/>
      <c r="K61" s="90" t="s">
        <v>599</v>
      </c>
      <c r="L61" s="3"/>
      <c r="M61" s="91">
        <v>75.0</v>
      </c>
      <c r="N61" s="88"/>
      <c r="O61" s="90" t="s">
        <v>640</v>
      </c>
      <c r="P61" s="3"/>
      <c r="Q61" s="91">
        <v>100.0</v>
      </c>
      <c r="R61" s="88"/>
      <c r="S61" s="90" t="s">
        <v>787</v>
      </c>
      <c r="T61" s="3"/>
      <c r="U61" s="91">
        <v>80.0</v>
      </c>
      <c r="V61" s="88"/>
    </row>
    <row r="62" ht="14.25" customHeight="1">
      <c r="B62" s="117" t="s">
        <v>131</v>
      </c>
      <c r="C62" s="90" t="s">
        <v>906</v>
      </c>
      <c r="D62" s="3"/>
      <c r="E62" s="91">
        <v>23.0</v>
      </c>
      <c r="F62" s="88"/>
      <c r="G62" s="90" t="s">
        <v>651</v>
      </c>
      <c r="H62" s="3"/>
      <c r="I62" s="91">
        <v>56.0</v>
      </c>
      <c r="J62" s="88"/>
      <c r="K62" s="90" t="s">
        <v>646</v>
      </c>
      <c r="L62" s="3"/>
      <c r="M62" s="91">
        <v>18.0</v>
      </c>
      <c r="N62" s="88"/>
      <c r="O62" s="90" t="s">
        <v>774</v>
      </c>
      <c r="P62" s="3"/>
      <c r="Q62" s="91">
        <v>31.0</v>
      </c>
      <c r="R62" s="88"/>
      <c r="S62" s="90" t="s">
        <v>782</v>
      </c>
      <c r="T62" s="3"/>
      <c r="U62" s="91">
        <v>10.0</v>
      </c>
      <c r="V62" s="88"/>
    </row>
    <row r="63" ht="14.25" customHeight="1">
      <c r="B63" s="116"/>
      <c r="C63" s="90" t="s">
        <v>907</v>
      </c>
      <c r="D63" s="3"/>
      <c r="E63" s="91">
        <v>1.0</v>
      </c>
      <c r="F63" s="88"/>
      <c r="G63" s="90" t="s">
        <v>648</v>
      </c>
      <c r="H63" s="3"/>
      <c r="I63" s="91">
        <v>41.0</v>
      </c>
      <c r="J63" s="88"/>
      <c r="K63" s="90" t="s">
        <v>908</v>
      </c>
      <c r="L63" s="3"/>
      <c r="M63" s="91">
        <v>1.0</v>
      </c>
      <c r="N63" s="88"/>
      <c r="O63" s="90" t="s">
        <v>663</v>
      </c>
      <c r="P63" s="3"/>
      <c r="Q63" s="91">
        <v>31.0</v>
      </c>
      <c r="R63" s="88"/>
      <c r="S63" s="90" t="s">
        <v>909</v>
      </c>
      <c r="T63" s="3"/>
      <c r="U63" s="91">
        <v>22.0</v>
      </c>
      <c r="V63" s="88"/>
    </row>
    <row r="64" ht="14.25" customHeight="1">
      <c r="B64" s="116"/>
      <c r="C64" s="90" t="s">
        <v>910</v>
      </c>
      <c r="D64" s="3"/>
      <c r="E64" s="91">
        <v>3.0</v>
      </c>
      <c r="F64" s="88"/>
      <c r="G64" s="90" t="s">
        <v>911</v>
      </c>
      <c r="H64" s="3"/>
      <c r="I64" s="91">
        <v>1.0</v>
      </c>
      <c r="J64" s="88"/>
      <c r="K64" s="90" t="s">
        <v>772</v>
      </c>
      <c r="L64" s="3"/>
      <c r="M64" s="91">
        <v>10.0</v>
      </c>
      <c r="N64" s="88"/>
      <c r="O64" s="90" t="s">
        <v>912</v>
      </c>
      <c r="P64" s="3"/>
      <c r="Q64" s="91">
        <v>18.0</v>
      </c>
      <c r="R64" s="88"/>
      <c r="S64" s="90" t="s">
        <v>780</v>
      </c>
      <c r="T64" s="3"/>
      <c r="U64" s="91">
        <v>1.0</v>
      </c>
      <c r="V64" s="88"/>
    </row>
    <row r="65" ht="14.25" customHeight="1">
      <c r="B65" s="118"/>
      <c r="C65" s="94" t="s">
        <v>913</v>
      </c>
      <c r="D65" s="61"/>
      <c r="E65" s="95">
        <v>1.0</v>
      </c>
      <c r="F65" s="98">
        <f>SUM(E60:E65)</f>
        <v>223</v>
      </c>
      <c r="G65" s="94" t="s">
        <v>914</v>
      </c>
      <c r="H65" s="61"/>
      <c r="I65" s="95">
        <v>1.0</v>
      </c>
      <c r="J65" s="98">
        <f>SUM(I60:I65)</f>
        <v>233</v>
      </c>
      <c r="K65" s="94" t="s">
        <v>645</v>
      </c>
      <c r="L65" s="61"/>
      <c r="M65" s="95">
        <v>1.0</v>
      </c>
      <c r="N65" s="98">
        <f>SUM(M60:M65)</f>
        <v>295</v>
      </c>
      <c r="O65" s="94" t="s">
        <v>915</v>
      </c>
      <c r="P65" s="61"/>
      <c r="Q65" s="95">
        <v>3.0</v>
      </c>
      <c r="R65" s="98">
        <f>SUM(Q60:Q65)</f>
        <v>300</v>
      </c>
      <c r="S65" s="94" t="s">
        <v>916</v>
      </c>
      <c r="T65" s="61"/>
      <c r="U65" s="95">
        <v>1.0</v>
      </c>
      <c r="V65" s="98">
        <f>SUM(U60:U65)</f>
        <v>275</v>
      </c>
    </row>
    <row r="66" ht="14.25" customHeight="1">
      <c r="C66" s="23" t="s">
        <v>152</v>
      </c>
      <c r="D66" s="22"/>
      <c r="E66" s="102">
        <f>SUM(E41:E65)</f>
        <v>465</v>
      </c>
      <c r="F66" s="101"/>
      <c r="G66" s="23" t="s">
        <v>152</v>
      </c>
      <c r="H66" s="22"/>
      <c r="I66" s="102">
        <f>SUM(I41:I65)</f>
        <v>483</v>
      </c>
      <c r="J66" s="101"/>
      <c r="K66" s="23" t="s">
        <v>152</v>
      </c>
      <c r="L66" s="22"/>
      <c r="M66" s="102">
        <f>SUM(M41:M65)</f>
        <v>495</v>
      </c>
      <c r="N66" s="101"/>
      <c r="O66" s="23" t="s">
        <v>152</v>
      </c>
      <c r="P66" s="22"/>
      <c r="Q66" s="102">
        <f>SUM(Q41:Q65)</f>
        <v>498</v>
      </c>
      <c r="R66" s="101"/>
      <c r="S66" s="23" t="s">
        <v>152</v>
      </c>
      <c r="T66" s="22"/>
      <c r="U66" s="102">
        <f>SUM(U41:U65)</f>
        <v>499</v>
      </c>
      <c r="V66" s="101"/>
    </row>
    <row r="67" ht="14.25" customHeight="1">
      <c r="C67" s="23" t="s">
        <v>153</v>
      </c>
      <c r="D67" s="22"/>
      <c r="E67" s="102">
        <f>500-E66</f>
        <v>35</v>
      </c>
      <c r="F67" s="103"/>
      <c r="G67" s="23" t="s">
        <v>153</v>
      </c>
      <c r="H67" s="22"/>
      <c r="I67" s="102">
        <f>500-I66</f>
        <v>17</v>
      </c>
      <c r="J67" s="103"/>
      <c r="K67" s="23" t="s">
        <v>153</v>
      </c>
      <c r="L67" s="22"/>
      <c r="M67" s="102">
        <f>500-M66</f>
        <v>5</v>
      </c>
      <c r="N67" s="103"/>
      <c r="O67" s="23" t="s">
        <v>153</v>
      </c>
      <c r="P67" s="22"/>
      <c r="Q67" s="102">
        <f>500-Q66</f>
        <v>2</v>
      </c>
      <c r="R67" s="103"/>
      <c r="S67" s="23" t="s">
        <v>153</v>
      </c>
      <c r="T67" s="22"/>
      <c r="U67" s="121">
        <f>500-U66</f>
        <v>1</v>
      </c>
      <c r="V67" s="103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7">
    <mergeCell ref="S62:T62"/>
    <mergeCell ref="S63:T63"/>
    <mergeCell ref="O58:P58"/>
    <mergeCell ref="O59:P59"/>
    <mergeCell ref="O60:P60"/>
    <mergeCell ref="O61:P61"/>
    <mergeCell ref="S61:T61"/>
    <mergeCell ref="O62:P62"/>
    <mergeCell ref="O63:P63"/>
    <mergeCell ref="O9:P9"/>
    <mergeCell ref="O10:P10"/>
    <mergeCell ref="O11:P11"/>
    <mergeCell ref="O12:P12"/>
    <mergeCell ref="O13:P13"/>
    <mergeCell ref="O14:P14"/>
    <mergeCell ref="O15:P15"/>
    <mergeCell ref="O25:P25"/>
    <mergeCell ref="O26:P26"/>
    <mergeCell ref="O30:P30"/>
    <mergeCell ref="O31:P31"/>
    <mergeCell ref="O32:P32"/>
    <mergeCell ref="O39:R39"/>
    <mergeCell ref="S39:V39"/>
    <mergeCell ref="O41:P41"/>
    <mergeCell ref="S41:T41"/>
    <mergeCell ref="O42:P42"/>
    <mergeCell ref="S42:T42"/>
    <mergeCell ref="O43:P43"/>
    <mergeCell ref="S43:T43"/>
    <mergeCell ref="S44:T44"/>
    <mergeCell ref="O44:P44"/>
    <mergeCell ref="O45:P45"/>
    <mergeCell ref="O46:P46"/>
    <mergeCell ref="O47:P47"/>
    <mergeCell ref="O48:P48"/>
    <mergeCell ref="O49:P49"/>
    <mergeCell ref="O50:P50"/>
    <mergeCell ref="S45:T45"/>
    <mergeCell ref="S46:T46"/>
    <mergeCell ref="S47:T47"/>
    <mergeCell ref="S48:T48"/>
    <mergeCell ref="S49:T49"/>
    <mergeCell ref="S50:T50"/>
    <mergeCell ref="S51:T51"/>
    <mergeCell ref="O51:P51"/>
    <mergeCell ref="O52:P52"/>
    <mergeCell ref="O53:P53"/>
    <mergeCell ref="O54:P54"/>
    <mergeCell ref="O55:P55"/>
    <mergeCell ref="O56:P56"/>
    <mergeCell ref="O57:P57"/>
    <mergeCell ref="O64:P64"/>
    <mergeCell ref="S64:T64"/>
    <mergeCell ref="G6:H6"/>
    <mergeCell ref="K6:L6"/>
    <mergeCell ref="C7:D7"/>
    <mergeCell ref="G7:H7"/>
    <mergeCell ref="K7:L7"/>
    <mergeCell ref="G8:H8"/>
    <mergeCell ref="K8:L8"/>
    <mergeCell ref="C8:D8"/>
    <mergeCell ref="C9:D9"/>
    <mergeCell ref="G9:H9"/>
    <mergeCell ref="K9:L9"/>
    <mergeCell ref="C10:D10"/>
    <mergeCell ref="K10:L10"/>
    <mergeCell ref="K11:L11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9:J39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66:H66"/>
    <mergeCell ref="G67:H67"/>
    <mergeCell ref="G59:H59"/>
    <mergeCell ref="G60:H60"/>
    <mergeCell ref="G61:H61"/>
    <mergeCell ref="G62:H62"/>
    <mergeCell ref="G63:H63"/>
    <mergeCell ref="G64:H64"/>
    <mergeCell ref="G65:H65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9:F39"/>
    <mergeCell ref="C38:D38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61:D61"/>
    <mergeCell ref="C62:D62"/>
    <mergeCell ref="C63:D63"/>
    <mergeCell ref="C64:D64"/>
    <mergeCell ref="C65:D65"/>
    <mergeCell ref="C66:D66"/>
    <mergeCell ref="C67:D67"/>
    <mergeCell ref="C54:D54"/>
    <mergeCell ref="C55:D55"/>
    <mergeCell ref="C56:D56"/>
    <mergeCell ref="C57:D57"/>
    <mergeCell ref="C58:D58"/>
    <mergeCell ref="C59:D59"/>
    <mergeCell ref="C60:D60"/>
    <mergeCell ref="O23:P23"/>
    <mergeCell ref="O24:P24"/>
    <mergeCell ref="O16:P16"/>
    <mergeCell ref="O17:P17"/>
    <mergeCell ref="O18:P18"/>
    <mergeCell ref="O19:P19"/>
    <mergeCell ref="O20:P20"/>
    <mergeCell ref="O21:P21"/>
    <mergeCell ref="O22:P22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30:L30"/>
    <mergeCell ref="K31:L31"/>
    <mergeCell ref="K32:L32"/>
    <mergeCell ref="K39:N39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65:L65"/>
    <mergeCell ref="K66:L66"/>
    <mergeCell ref="K67:L67"/>
    <mergeCell ref="K58:L58"/>
    <mergeCell ref="K59:L59"/>
    <mergeCell ref="K60:L60"/>
    <mergeCell ref="K61:L61"/>
    <mergeCell ref="K62:L62"/>
    <mergeCell ref="K63:L63"/>
    <mergeCell ref="K64:L64"/>
    <mergeCell ref="H1:Q1"/>
    <mergeCell ref="C4:F4"/>
    <mergeCell ref="G4:J4"/>
    <mergeCell ref="K4:N4"/>
    <mergeCell ref="O4:R4"/>
    <mergeCell ref="S4:V4"/>
    <mergeCell ref="C6:D6"/>
    <mergeCell ref="O6:P6"/>
    <mergeCell ref="S6:T6"/>
    <mergeCell ref="O7:P7"/>
    <mergeCell ref="S7:T7"/>
    <mergeCell ref="O8:P8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K26:L26"/>
    <mergeCell ref="K27:L27"/>
    <mergeCell ref="O27:P27"/>
    <mergeCell ref="O28:P28"/>
    <mergeCell ref="O29:P29"/>
    <mergeCell ref="K28:L28"/>
    <mergeCell ref="K29:L29"/>
    <mergeCell ref="S31:T31"/>
    <mergeCell ref="S32:T32"/>
    <mergeCell ref="S24:T24"/>
    <mergeCell ref="S25:T25"/>
    <mergeCell ref="S26:T26"/>
    <mergeCell ref="S27:T27"/>
    <mergeCell ref="S28:T28"/>
    <mergeCell ref="S29:T29"/>
    <mergeCell ref="S30:T30"/>
    <mergeCell ref="S59:T59"/>
    <mergeCell ref="S60:T60"/>
    <mergeCell ref="O65:P65"/>
    <mergeCell ref="S65:T65"/>
    <mergeCell ref="O66:P66"/>
    <mergeCell ref="S66:T66"/>
    <mergeCell ref="O67:P67"/>
    <mergeCell ref="S67:T67"/>
    <mergeCell ref="S52:T52"/>
    <mergeCell ref="S53:T53"/>
    <mergeCell ref="S54:T54"/>
    <mergeCell ref="S55:T55"/>
    <mergeCell ref="S56:T56"/>
    <mergeCell ref="S57:T57"/>
    <mergeCell ref="S58:T58"/>
  </mergeCells>
  <dataValidations>
    <dataValidation type="list" allowBlank="1" sqref="C6:C30 G6:G30 K6:K30 O6:O30 S6:S30 C41:C65 G41:G65 K41:K65 O41:O65 S41:S65">
      <formula1>Lista!$C$1:$C$998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57"/>
    <col customWidth="1" min="7" max="22" width="8.71"/>
    <col customWidth="1" min="23" max="26" width="16.43"/>
  </cols>
  <sheetData>
    <row r="1" ht="28.5" customHeight="1">
      <c r="A1" s="125">
        <v>2026.0</v>
      </c>
      <c r="H1" s="20" t="s">
        <v>917</v>
      </c>
      <c r="I1" s="21"/>
      <c r="J1" s="21"/>
      <c r="K1" s="21"/>
      <c r="L1" s="21"/>
      <c r="M1" s="21"/>
      <c r="N1" s="21"/>
      <c r="O1" s="21"/>
      <c r="P1" s="21"/>
      <c r="Q1" s="22"/>
    </row>
    <row r="2" ht="14.25" customHeight="1"/>
    <row r="3" ht="14.25" customHeight="1"/>
    <row r="4" ht="14.25" customHeight="1">
      <c r="C4" s="24" t="s">
        <v>11</v>
      </c>
      <c r="D4" s="21"/>
      <c r="E4" s="21"/>
      <c r="F4" s="22"/>
      <c r="G4" s="24" t="s">
        <v>537</v>
      </c>
      <c r="H4" s="21"/>
      <c r="I4" s="21"/>
      <c r="J4" s="22"/>
      <c r="K4" s="24" t="s">
        <v>918</v>
      </c>
      <c r="L4" s="21"/>
      <c r="M4" s="21"/>
      <c r="N4" s="22"/>
      <c r="O4" s="24" t="s">
        <v>539</v>
      </c>
      <c r="P4" s="21"/>
      <c r="Q4" s="21"/>
      <c r="R4" s="22"/>
      <c r="S4" s="24" t="s">
        <v>540</v>
      </c>
      <c r="T4" s="21"/>
      <c r="U4" s="21"/>
      <c r="V4" s="22"/>
    </row>
    <row r="5" ht="14.25" customHeight="1">
      <c r="C5" s="25" t="s">
        <v>20</v>
      </c>
      <c r="D5" s="26"/>
      <c r="E5" s="27" t="s">
        <v>21</v>
      </c>
      <c r="F5" s="28" t="s">
        <v>22</v>
      </c>
      <c r="G5" s="25" t="s">
        <v>20</v>
      </c>
      <c r="H5" s="26"/>
      <c r="I5" s="27" t="s">
        <v>21</v>
      </c>
      <c r="J5" s="28" t="s">
        <v>22</v>
      </c>
      <c r="K5" s="29" t="s">
        <v>20</v>
      </c>
      <c r="L5" s="30"/>
      <c r="M5" s="31" t="s">
        <v>21</v>
      </c>
      <c r="N5" s="28" t="s">
        <v>22</v>
      </c>
      <c r="O5" s="126" t="s">
        <v>20</v>
      </c>
      <c r="P5" s="30"/>
      <c r="Q5" s="31" t="s">
        <v>21</v>
      </c>
      <c r="R5" s="28" t="s">
        <v>22</v>
      </c>
      <c r="S5" s="29" t="s">
        <v>20</v>
      </c>
      <c r="T5" s="30"/>
      <c r="U5" s="31" t="s">
        <v>21</v>
      </c>
      <c r="V5" s="28" t="s">
        <v>22</v>
      </c>
    </row>
    <row r="6" ht="14.25" customHeight="1">
      <c r="B6" s="32"/>
      <c r="C6" s="33" t="s">
        <v>546</v>
      </c>
      <c r="D6" s="34"/>
      <c r="E6" s="35">
        <v>42.0</v>
      </c>
      <c r="F6" s="36"/>
      <c r="G6" s="33" t="s">
        <v>863</v>
      </c>
      <c r="H6" s="34"/>
      <c r="I6" s="35">
        <v>60.0</v>
      </c>
      <c r="J6" s="37"/>
      <c r="K6" s="33" t="s">
        <v>676</v>
      </c>
      <c r="L6" s="34"/>
      <c r="M6" s="35">
        <v>23.0</v>
      </c>
      <c r="N6" s="38"/>
      <c r="O6" s="33" t="s">
        <v>678</v>
      </c>
      <c r="P6" s="34"/>
      <c r="Q6" s="35">
        <v>6.0</v>
      </c>
      <c r="R6" s="38"/>
      <c r="S6" s="33" t="s">
        <v>544</v>
      </c>
      <c r="T6" s="34"/>
      <c r="U6" s="35">
        <v>41.0</v>
      </c>
      <c r="V6" s="38"/>
    </row>
    <row r="7" ht="14.25" customHeight="1">
      <c r="B7" s="39" t="s">
        <v>28</v>
      </c>
      <c r="C7" s="33" t="s">
        <v>919</v>
      </c>
      <c r="D7" s="34"/>
      <c r="E7" s="41">
        <v>1.0</v>
      </c>
      <c r="F7" s="36"/>
      <c r="G7" s="33" t="s">
        <v>548</v>
      </c>
      <c r="H7" s="34"/>
      <c r="I7" s="41">
        <v>3.0</v>
      </c>
      <c r="J7" s="37"/>
      <c r="K7" s="33" t="s">
        <v>920</v>
      </c>
      <c r="L7" s="34"/>
      <c r="M7" s="41">
        <v>4.0</v>
      </c>
      <c r="N7" s="38"/>
      <c r="O7" s="33" t="s">
        <v>556</v>
      </c>
      <c r="P7" s="34"/>
      <c r="Q7" s="41">
        <v>5.0</v>
      </c>
      <c r="R7" s="38"/>
      <c r="S7" s="33" t="s">
        <v>552</v>
      </c>
      <c r="T7" s="34"/>
      <c r="U7" s="41">
        <v>1.0</v>
      </c>
      <c r="V7" s="38"/>
    </row>
    <row r="8" ht="14.25" customHeight="1">
      <c r="B8" s="42"/>
      <c r="C8" s="119" t="s">
        <v>921</v>
      </c>
      <c r="D8" s="120"/>
      <c r="E8" s="45">
        <v>1.0</v>
      </c>
      <c r="F8" s="46">
        <f>SUM(E6:E8)</f>
        <v>44</v>
      </c>
      <c r="G8" s="119" t="s">
        <v>922</v>
      </c>
      <c r="H8" s="120"/>
      <c r="I8" s="45">
        <v>7.0</v>
      </c>
      <c r="J8" s="47">
        <f>SUM(I6:I8)</f>
        <v>70</v>
      </c>
      <c r="K8" s="119" t="s">
        <v>801</v>
      </c>
      <c r="L8" s="120"/>
      <c r="M8" s="45">
        <v>1.0</v>
      </c>
      <c r="N8" s="48">
        <f>SUM(M6:M8)</f>
        <v>28</v>
      </c>
      <c r="O8" s="119" t="s">
        <v>923</v>
      </c>
      <c r="P8" s="120"/>
      <c r="Q8" s="45">
        <v>1.0</v>
      </c>
      <c r="R8" s="48">
        <f>SUM(Q6:Q8)</f>
        <v>12</v>
      </c>
      <c r="S8" s="119" t="s">
        <v>924</v>
      </c>
      <c r="T8" s="120"/>
      <c r="U8" s="45">
        <v>1.0</v>
      </c>
      <c r="V8" s="48">
        <f>SUM(U6:U8)</f>
        <v>43</v>
      </c>
    </row>
    <row r="9" ht="14.25" customHeight="1">
      <c r="B9" s="49"/>
      <c r="C9" s="50" t="s">
        <v>690</v>
      </c>
      <c r="D9" s="34"/>
      <c r="E9" s="51">
        <v>16.0</v>
      </c>
      <c r="F9" s="52"/>
      <c r="G9" s="50" t="s">
        <v>808</v>
      </c>
      <c r="H9" s="34"/>
      <c r="I9" s="51">
        <v>39.0</v>
      </c>
      <c r="J9" s="53"/>
      <c r="K9" s="50" t="s">
        <v>562</v>
      </c>
      <c r="L9" s="34"/>
      <c r="M9" s="51">
        <v>12.0</v>
      </c>
      <c r="N9" s="54"/>
      <c r="O9" s="50" t="s">
        <v>559</v>
      </c>
      <c r="P9" s="34"/>
      <c r="Q9" s="51">
        <v>56.0</v>
      </c>
      <c r="R9" s="54"/>
      <c r="S9" s="50" t="s">
        <v>586</v>
      </c>
      <c r="T9" s="34"/>
      <c r="U9" s="51">
        <v>18.0</v>
      </c>
      <c r="V9" s="54"/>
    </row>
    <row r="10" ht="14.25" customHeight="1">
      <c r="B10" s="55"/>
      <c r="C10" s="56" t="s">
        <v>807</v>
      </c>
      <c r="D10" s="3"/>
      <c r="E10" s="57">
        <v>27.0</v>
      </c>
      <c r="F10" s="52"/>
      <c r="G10" s="56" t="s">
        <v>704</v>
      </c>
      <c r="H10" s="3"/>
      <c r="I10" s="57">
        <v>39.0</v>
      </c>
      <c r="J10" s="53"/>
      <c r="K10" s="56" t="s">
        <v>566</v>
      </c>
      <c r="L10" s="3"/>
      <c r="M10" s="57">
        <v>19.0</v>
      </c>
      <c r="N10" s="54"/>
      <c r="O10" s="56" t="s">
        <v>870</v>
      </c>
      <c r="P10" s="3"/>
      <c r="Q10" s="57">
        <v>38.0</v>
      </c>
      <c r="R10" s="54"/>
      <c r="S10" s="56" t="s">
        <v>880</v>
      </c>
      <c r="T10" s="3"/>
      <c r="U10" s="57">
        <v>16.0</v>
      </c>
      <c r="V10" s="54"/>
    </row>
    <row r="11" ht="14.25" customHeight="1">
      <c r="B11" s="55"/>
      <c r="C11" s="56" t="s">
        <v>925</v>
      </c>
      <c r="D11" s="3"/>
      <c r="E11" s="57">
        <v>26.0</v>
      </c>
      <c r="F11" s="52"/>
      <c r="G11" s="56" t="s">
        <v>574</v>
      </c>
      <c r="H11" s="3"/>
      <c r="I11" s="57">
        <v>10.0</v>
      </c>
      <c r="J11" s="53"/>
      <c r="K11" s="56" t="s">
        <v>694</v>
      </c>
      <c r="L11" s="3"/>
      <c r="M11" s="57">
        <v>5.0</v>
      </c>
      <c r="N11" s="54"/>
      <c r="O11" s="56" t="s">
        <v>871</v>
      </c>
      <c r="P11" s="3"/>
      <c r="Q11" s="57">
        <v>12.0</v>
      </c>
      <c r="R11" s="54"/>
      <c r="S11" s="56" t="s">
        <v>707</v>
      </c>
      <c r="T11" s="3"/>
      <c r="U11" s="57">
        <v>21.0</v>
      </c>
      <c r="V11" s="54"/>
    </row>
    <row r="12" ht="14.25" customHeight="1">
      <c r="B12" s="58" t="s">
        <v>54</v>
      </c>
      <c r="C12" s="56" t="s">
        <v>877</v>
      </c>
      <c r="D12" s="3"/>
      <c r="E12" s="57">
        <v>6.0</v>
      </c>
      <c r="F12" s="52"/>
      <c r="G12" s="56" t="s">
        <v>565</v>
      </c>
      <c r="H12" s="3"/>
      <c r="I12" s="57">
        <v>17.0</v>
      </c>
      <c r="J12" s="53"/>
      <c r="K12" s="56" t="s">
        <v>703</v>
      </c>
      <c r="L12" s="3"/>
      <c r="M12" s="57">
        <v>3.0</v>
      </c>
      <c r="N12" s="54"/>
      <c r="O12" s="56" t="s">
        <v>561</v>
      </c>
      <c r="P12" s="3"/>
      <c r="Q12" s="57">
        <v>16.0</v>
      </c>
      <c r="R12" s="54"/>
      <c r="S12" s="56" t="s">
        <v>883</v>
      </c>
      <c r="T12" s="3"/>
      <c r="U12" s="57">
        <v>12.0</v>
      </c>
      <c r="V12" s="54"/>
    </row>
    <row r="13" ht="14.25" customHeight="1">
      <c r="B13" s="55"/>
      <c r="C13" s="56" t="s">
        <v>926</v>
      </c>
      <c r="D13" s="3"/>
      <c r="E13" s="57">
        <v>1.0</v>
      </c>
      <c r="F13" s="52"/>
      <c r="G13" s="56" t="s">
        <v>927</v>
      </c>
      <c r="H13" s="3"/>
      <c r="I13" s="57">
        <v>3.0</v>
      </c>
      <c r="J13" s="53"/>
      <c r="K13" s="56" t="s">
        <v>928</v>
      </c>
      <c r="L13" s="3"/>
      <c r="M13" s="57">
        <v>8.0</v>
      </c>
      <c r="N13" s="54"/>
      <c r="O13" s="56" t="s">
        <v>929</v>
      </c>
      <c r="P13" s="3"/>
      <c r="Q13" s="57">
        <v>4.0</v>
      </c>
      <c r="R13" s="54"/>
      <c r="S13" s="56" t="s">
        <v>930</v>
      </c>
      <c r="T13" s="3"/>
      <c r="U13" s="57">
        <v>5.0</v>
      </c>
      <c r="V13" s="54"/>
    </row>
    <row r="14" ht="14.25" customHeight="1">
      <c r="B14" s="55"/>
      <c r="C14" s="56" t="s">
        <v>931</v>
      </c>
      <c r="D14" s="3"/>
      <c r="E14" s="57">
        <v>3.0</v>
      </c>
      <c r="F14" s="52"/>
      <c r="G14" s="56" t="s">
        <v>932</v>
      </c>
      <c r="H14" s="3"/>
      <c r="I14" s="57">
        <v>1.0</v>
      </c>
      <c r="J14" s="53"/>
      <c r="K14" s="56" t="s">
        <v>933</v>
      </c>
      <c r="L14" s="3"/>
      <c r="M14" s="57">
        <v>3.0</v>
      </c>
      <c r="N14" s="54"/>
      <c r="O14" s="56" t="s">
        <v>934</v>
      </c>
      <c r="P14" s="3"/>
      <c r="Q14" s="57">
        <v>4.0</v>
      </c>
      <c r="R14" s="54"/>
      <c r="S14" s="56" t="s">
        <v>935</v>
      </c>
      <c r="T14" s="3"/>
      <c r="U14" s="57">
        <v>1.0</v>
      </c>
      <c r="V14" s="54"/>
    </row>
    <row r="15" ht="14.25" customHeight="1">
      <c r="B15" s="55"/>
      <c r="C15" s="56" t="s">
        <v>936</v>
      </c>
      <c r="D15" s="3"/>
      <c r="E15" s="57">
        <v>3.0</v>
      </c>
      <c r="F15" s="52"/>
      <c r="G15" s="56" t="s">
        <v>589</v>
      </c>
      <c r="H15" s="3"/>
      <c r="I15" s="57">
        <v>1.0</v>
      </c>
      <c r="J15" s="53"/>
      <c r="K15" s="56" t="s">
        <v>816</v>
      </c>
      <c r="L15" s="3"/>
      <c r="M15" s="57">
        <v>1.0</v>
      </c>
      <c r="N15" s="54"/>
      <c r="O15" s="56" t="s">
        <v>937</v>
      </c>
      <c r="P15" s="3"/>
      <c r="Q15" s="57">
        <v>1.0</v>
      </c>
      <c r="R15" s="54"/>
      <c r="S15" s="56" t="s">
        <v>938</v>
      </c>
      <c r="T15" s="3"/>
      <c r="U15" s="57">
        <v>3.0</v>
      </c>
      <c r="V15" s="54"/>
    </row>
    <row r="16" ht="14.25" customHeight="1">
      <c r="B16" s="59"/>
      <c r="C16" s="60" t="s">
        <v>939</v>
      </c>
      <c r="D16" s="61"/>
      <c r="E16" s="62">
        <v>1.0</v>
      </c>
      <c r="F16" s="63">
        <f>SUM(E9:E16)</f>
        <v>83</v>
      </c>
      <c r="G16" s="60" t="s">
        <v>882</v>
      </c>
      <c r="H16" s="61"/>
      <c r="I16" s="62">
        <v>1.0</v>
      </c>
      <c r="J16" s="64">
        <f>SUM(I9:I16)</f>
        <v>111</v>
      </c>
      <c r="K16" s="60" t="s">
        <v>700</v>
      </c>
      <c r="L16" s="61"/>
      <c r="M16" s="62">
        <v>1.0</v>
      </c>
      <c r="N16" s="65">
        <f>SUM(M9:M16)</f>
        <v>52</v>
      </c>
      <c r="O16" s="60" t="s">
        <v>873</v>
      </c>
      <c r="P16" s="61"/>
      <c r="Q16" s="62">
        <v>1.0</v>
      </c>
      <c r="R16" s="65">
        <f>SUM(Q9:Q16)</f>
        <v>132</v>
      </c>
      <c r="S16" s="60" t="s">
        <v>940</v>
      </c>
      <c r="T16" s="61"/>
      <c r="U16" s="62">
        <v>1.0</v>
      </c>
      <c r="V16" s="65">
        <f>SUM(U9:U16)</f>
        <v>77</v>
      </c>
    </row>
    <row r="17" ht="14.25" customHeight="1">
      <c r="B17" s="66"/>
      <c r="C17" s="67" t="s">
        <v>740</v>
      </c>
      <c r="D17" s="68"/>
      <c r="E17" s="69">
        <v>24.0</v>
      </c>
      <c r="F17" s="70"/>
      <c r="G17" s="67" t="s">
        <v>734</v>
      </c>
      <c r="H17" s="68"/>
      <c r="I17" s="69">
        <v>31.0</v>
      </c>
      <c r="J17" s="71"/>
      <c r="K17" s="67" t="s">
        <v>739</v>
      </c>
      <c r="L17" s="68"/>
      <c r="M17" s="69">
        <v>58.0</v>
      </c>
      <c r="N17" s="72"/>
      <c r="O17" s="67" t="s">
        <v>762</v>
      </c>
      <c r="P17" s="68"/>
      <c r="Q17" s="69">
        <v>40.0</v>
      </c>
      <c r="R17" s="72"/>
      <c r="S17" s="67" t="s">
        <v>941</v>
      </c>
      <c r="T17" s="68"/>
      <c r="U17" s="69">
        <v>28.0</v>
      </c>
      <c r="V17" s="72"/>
    </row>
    <row r="18" ht="14.25" customHeight="1">
      <c r="B18" s="73"/>
      <c r="C18" s="74" t="s">
        <v>826</v>
      </c>
      <c r="D18" s="3"/>
      <c r="E18" s="75">
        <v>62.0</v>
      </c>
      <c r="F18" s="70"/>
      <c r="G18" s="74" t="s">
        <v>889</v>
      </c>
      <c r="H18" s="3"/>
      <c r="I18" s="75">
        <v>11.0</v>
      </c>
      <c r="J18" s="71"/>
      <c r="K18" s="74" t="s">
        <v>942</v>
      </c>
      <c r="L18" s="3"/>
      <c r="M18" s="75">
        <v>47.0</v>
      </c>
      <c r="N18" s="72"/>
      <c r="O18" s="74" t="s">
        <v>824</v>
      </c>
      <c r="P18" s="3"/>
      <c r="Q18" s="75">
        <v>13.0</v>
      </c>
      <c r="R18" s="72"/>
      <c r="S18" s="74" t="s">
        <v>727</v>
      </c>
      <c r="T18" s="3"/>
      <c r="U18" s="75">
        <v>51.0</v>
      </c>
      <c r="V18" s="72"/>
    </row>
    <row r="19" ht="14.25" customHeight="1">
      <c r="B19" s="73"/>
      <c r="C19" s="74" t="s">
        <v>943</v>
      </c>
      <c r="D19" s="3"/>
      <c r="E19" s="75">
        <v>19.0</v>
      </c>
      <c r="F19" s="70"/>
      <c r="G19" s="74" t="s">
        <v>829</v>
      </c>
      <c r="H19" s="3"/>
      <c r="I19" s="75">
        <v>24.0</v>
      </c>
      <c r="J19" s="71"/>
      <c r="K19" s="74" t="s">
        <v>944</v>
      </c>
      <c r="L19" s="3"/>
      <c r="M19" s="75">
        <v>18.0</v>
      </c>
      <c r="N19" s="72"/>
      <c r="O19" s="74" t="s">
        <v>945</v>
      </c>
      <c r="P19" s="3"/>
      <c r="Q19" s="75">
        <v>9.0</v>
      </c>
      <c r="R19" s="72"/>
      <c r="S19" s="74" t="s">
        <v>946</v>
      </c>
      <c r="T19" s="3"/>
      <c r="U19" s="75">
        <v>19.0</v>
      </c>
      <c r="V19" s="72"/>
    </row>
    <row r="20" ht="14.25" customHeight="1">
      <c r="B20" s="76" t="s">
        <v>95</v>
      </c>
      <c r="C20" s="74" t="s">
        <v>947</v>
      </c>
      <c r="D20" s="3"/>
      <c r="E20" s="75">
        <v>4.0</v>
      </c>
      <c r="F20" s="70"/>
      <c r="G20" s="74" t="s">
        <v>840</v>
      </c>
      <c r="H20" s="3"/>
      <c r="I20" s="75">
        <v>1.0</v>
      </c>
      <c r="J20" s="71"/>
      <c r="K20" s="74" t="s">
        <v>834</v>
      </c>
      <c r="L20" s="3"/>
      <c r="M20" s="75">
        <v>1.0</v>
      </c>
      <c r="N20" s="72"/>
      <c r="O20" s="74" t="s">
        <v>619</v>
      </c>
      <c r="P20" s="3"/>
      <c r="Q20" s="75">
        <v>19.0</v>
      </c>
      <c r="R20" s="72"/>
      <c r="S20" s="74" t="s">
        <v>948</v>
      </c>
      <c r="T20" s="3"/>
      <c r="U20" s="75">
        <v>26.0</v>
      </c>
      <c r="V20" s="72"/>
    </row>
    <row r="21" ht="14.25" customHeight="1">
      <c r="B21" s="73"/>
      <c r="C21" s="74" t="s">
        <v>949</v>
      </c>
      <c r="D21" s="3"/>
      <c r="E21" s="75">
        <v>1.0</v>
      </c>
      <c r="F21" s="70"/>
      <c r="G21" s="74" t="s">
        <v>597</v>
      </c>
      <c r="H21" s="3"/>
      <c r="I21" s="75">
        <v>7.0</v>
      </c>
      <c r="J21" s="71"/>
      <c r="K21" s="74" t="s">
        <v>600</v>
      </c>
      <c r="L21" s="3"/>
      <c r="M21" s="75">
        <v>4.0</v>
      </c>
      <c r="N21" s="72"/>
      <c r="O21" s="74" t="s">
        <v>950</v>
      </c>
      <c r="P21" s="3"/>
      <c r="Q21" s="75">
        <v>3.0</v>
      </c>
      <c r="R21" s="72"/>
      <c r="S21" s="74" t="s">
        <v>747</v>
      </c>
      <c r="T21" s="3"/>
      <c r="U21" s="75">
        <v>1.0</v>
      </c>
      <c r="V21" s="72"/>
    </row>
    <row r="22" ht="14.25" customHeight="1">
      <c r="B22" s="73"/>
      <c r="C22" s="74" t="s">
        <v>951</v>
      </c>
      <c r="D22" s="3"/>
      <c r="E22" s="75">
        <v>1.0</v>
      </c>
      <c r="F22" s="70"/>
      <c r="G22" s="74" t="s">
        <v>897</v>
      </c>
      <c r="H22" s="3"/>
      <c r="I22" s="75">
        <v>6.0</v>
      </c>
      <c r="J22" s="71"/>
      <c r="K22" s="74" t="s">
        <v>952</v>
      </c>
      <c r="L22" s="3"/>
      <c r="M22" s="75">
        <v>4.0</v>
      </c>
      <c r="N22" s="72"/>
      <c r="O22" s="74" t="s">
        <v>953</v>
      </c>
      <c r="P22" s="3"/>
      <c r="Q22" s="75">
        <v>3.0</v>
      </c>
      <c r="R22" s="72"/>
      <c r="S22" s="74" t="s">
        <v>954</v>
      </c>
      <c r="T22" s="3"/>
      <c r="U22" s="75">
        <v>1.0</v>
      </c>
      <c r="V22" s="72"/>
    </row>
    <row r="23" ht="14.25" customHeight="1">
      <c r="B23" s="73"/>
      <c r="C23" s="74" t="s">
        <v>899</v>
      </c>
      <c r="D23" s="3"/>
      <c r="E23" s="75">
        <v>1.0</v>
      </c>
      <c r="F23" s="70"/>
      <c r="G23" s="74" t="s">
        <v>892</v>
      </c>
      <c r="H23" s="3"/>
      <c r="I23" s="75">
        <v>1.0</v>
      </c>
      <c r="J23" s="71"/>
      <c r="K23" s="74" t="s">
        <v>614</v>
      </c>
      <c r="L23" s="3"/>
      <c r="M23" s="75">
        <v>1.0</v>
      </c>
      <c r="N23" s="72"/>
      <c r="O23" s="74" t="s">
        <v>750</v>
      </c>
      <c r="P23" s="3"/>
      <c r="Q23" s="75">
        <v>3.0</v>
      </c>
      <c r="R23" s="72"/>
      <c r="S23" s="74" t="s">
        <v>955</v>
      </c>
      <c r="T23" s="3"/>
      <c r="U23" s="75">
        <v>5.0</v>
      </c>
      <c r="V23" s="72"/>
    </row>
    <row r="24" ht="14.25" customHeight="1">
      <c r="B24" s="77"/>
      <c r="C24" s="78" t="s">
        <v>636</v>
      </c>
      <c r="D24" s="61"/>
      <c r="E24" s="79">
        <v>1.0</v>
      </c>
      <c r="F24" s="80">
        <f>SUM(E17:E24)</f>
        <v>113</v>
      </c>
      <c r="G24" s="78" t="s">
        <v>615</v>
      </c>
      <c r="H24" s="61"/>
      <c r="I24" s="79">
        <v>5.0</v>
      </c>
      <c r="J24" s="81">
        <f>SUM(I17:I24)</f>
        <v>86</v>
      </c>
      <c r="K24" s="78" t="s">
        <v>956</v>
      </c>
      <c r="L24" s="61"/>
      <c r="M24" s="79">
        <v>1.0</v>
      </c>
      <c r="N24" s="82">
        <f>SUM(M17:M24)</f>
        <v>134</v>
      </c>
      <c r="O24" s="78" t="s">
        <v>957</v>
      </c>
      <c r="P24" s="61"/>
      <c r="Q24" s="79">
        <v>1.0</v>
      </c>
      <c r="R24" s="82">
        <f>SUM(Q17:Q24)</f>
        <v>91</v>
      </c>
      <c r="S24" s="78" t="s">
        <v>831</v>
      </c>
      <c r="T24" s="61"/>
      <c r="U24" s="79">
        <v>1.0</v>
      </c>
      <c r="V24" s="82">
        <f>SUM(U17:U24)</f>
        <v>132</v>
      </c>
    </row>
    <row r="25" ht="14.25" customHeight="1">
      <c r="B25" s="83"/>
      <c r="C25" s="84" t="s">
        <v>767</v>
      </c>
      <c r="D25" s="68"/>
      <c r="E25" s="85">
        <v>172.0</v>
      </c>
      <c r="F25" s="86"/>
      <c r="G25" s="84" t="s">
        <v>640</v>
      </c>
      <c r="H25" s="68"/>
      <c r="I25" s="85">
        <v>101.0</v>
      </c>
      <c r="J25" s="87"/>
      <c r="K25" s="84" t="s">
        <v>958</v>
      </c>
      <c r="L25" s="68"/>
      <c r="M25" s="85">
        <v>112.0</v>
      </c>
      <c r="N25" s="88"/>
      <c r="O25" s="84" t="s">
        <v>599</v>
      </c>
      <c r="P25" s="68"/>
      <c r="Q25" s="85">
        <v>151.0</v>
      </c>
      <c r="R25" s="88"/>
      <c r="S25" s="84" t="s">
        <v>959</v>
      </c>
      <c r="T25" s="68"/>
      <c r="U25" s="85">
        <v>143.0</v>
      </c>
      <c r="V25" s="88"/>
    </row>
    <row r="26" ht="14.25" customHeight="1">
      <c r="B26" s="89"/>
      <c r="C26" s="90" t="s">
        <v>888</v>
      </c>
      <c r="D26" s="3"/>
      <c r="E26" s="91">
        <v>32.0</v>
      </c>
      <c r="F26" s="86"/>
      <c r="G26" s="90" t="s">
        <v>650</v>
      </c>
      <c r="H26" s="3"/>
      <c r="I26" s="91">
        <v>62.0</v>
      </c>
      <c r="J26" s="87"/>
      <c r="K26" s="90" t="s">
        <v>905</v>
      </c>
      <c r="L26" s="3"/>
      <c r="M26" s="91">
        <v>160.0</v>
      </c>
      <c r="N26" s="88"/>
      <c r="O26" s="90" t="s">
        <v>960</v>
      </c>
      <c r="P26" s="3"/>
      <c r="Q26" s="91">
        <v>87.0</v>
      </c>
      <c r="R26" s="88"/>
      <c r="S26" s="90" t="s">
        <v>728</v>
      </c>
      <c r="T26" s="3"/>
      <c r="U26" s="91">
        <v>45.0</v>
      </c>
      <c r="V26" s="88"/>
    </row>
    <row r="27" ht="14.25" customHeight="1">
      <c r="B27" s="92" t="s">
        <v>131</v>
      </c>
      <c r="C27" s="90" t="s">
        <v>961</v>
      </c>
      <c r="D27" s="3"/>
      <c r="E27" s="91">
        <v>43.0</v>
      </c>
      <c r="F27" s="86"/>
      <c r="G27" s="90" t="s">
        <v>962</v>
      </c>
      <c r="H27" s="3"/>
      <c r="I27" s="91">
        <v>33.0</v>
      </c>
      <c r="J27" s="87"/>
      <c r="K27" s="90" t="s">
        <v>909</v>
      </c>
      <c r="L27" s="3"/>
      <c r="M27" s="91">
        <v>10.0</v>
      </c>
      <c r="N27" s="88"/>
      <c r="O27" s="90" t="s">
        <v>963</v>
      </c>
      <c r="P27" s="3"/>
      <c r="Q27" s="91">
        <v>7.0</v>
      </c>
      <c r="R27" s="88"/>
      <c r="S27" s="90" t="s">
        <v>850</v>
      </c>
      <c r="T27" s="3"/>
      <c r="U27" s="91">
        <v>54.0</v>
      </c>
      <c r="V27" s="88"/>
    </row>
    <row r="28" ht="14.25" customHeight="1">
      <c r="B28" s="89"/>
      <c r="C28" s="90" t="s">
        <v>964</v>
      </c>
      <c r="D28" s="3"/>
      <c r="E28" s="91">
        <v>5.0</v>
      </c>
      <c r="F28" s="86"/>
      <c r="G28" s="90" t="s">
        <v>965</v>
      </c>
      <c r="H28" s="3"/>
      <c r="I28" s="91">
        <v>35.0</v>
      </c>
      <c r="J28" s="87"/>
      <c r="K28" s="90" t="s">
        <v>966</v>
      </c>
      <c r="L28" s="3"/>
      <c r="M28" s="91">
        <v>1.0</v>
      </c>
      <c r="N28" s="88"/>
      <c r="O28" s="90" t="s">
        <v>967</v>
      </c>
      <c r="P28" s="3"/>
      <c r="Q28" s="91">
        <v>8.0</v>
      </c>
      <c r="R28" s="88"/>
      <c r="S28" s="90" t="s">
        <v>789</v>
      </c>
      <c r="T28" s="3"/>
      <c r="U28" s="91">
        <v>1.0</v>
      </c>
      <c r="V28" s="88"/>
    </row>
    <row r="29" ht="14.25" customHeight="1">
      <c r="B29" s="89"/>
      <c r="C29" s="90" t="s">
        <v>646</v>
      </c>
      <c r="D29" s="3"/>
      <c r="E29" s="91">
        <v>2.0</v>
      </c>
      <c r="F29" s="86"/>
      <c r="G29" s="90" t="s">
        <v>648</v>
      </c>
      <c r="H29" s="3"/>
      <c r="I29" s="91">
        <v>1.0</v>
      </c>
      <c r="J29" s="87"/>
      <c r="K29" s="90" t="s">
        <v>659</v>
      </c>
      <c r="L29" s="3"/>
      <c r="M29" s="91">
        <v>1.0</v>
      </c>
      <c r="N29" s="88"/>
      <c r="O29" s="90" t="s">
        <v>907</v>
      </c>
      <c r="P29" s="3"/>
      <c r="Q29" s="91">
        <v>1.0</v>
      </c>
      <c r="R29" s="88"/>
      <c r="S29" s="90" t="s">
        <v>772</v>
      </c>
      <c r="T29" s="3"/>
      <c r="U29" s="91">
        <v>4.0</v>
      </c>
      <c r="V29" s="88"/>
    </row>
    <row r="30" ht="14.25" customHeight="1">
      <c r="B30" s="93"/>
      <c r="C30" s="94" t="s">
        <v>968</v>
      </c>
      <c r="D30" s="61"/>
      <c r="E30" s="95">
        <v>1.0</v>
      </c>
      <c r="F30" s="96">
        <f>SUM(E25:E30)</f>
        <v>255</v>
      </c>
      <c r="G30" s="94" t="s">
        <v>652</v>
      </c>
      <c r="H30" s="61"/>
      <c r="I30" s="95">
        <v>1.0</v>
      </c>
      <c r="J30" s="97">
        <f>SUM(I25:I30)</f>
        <v>233</v>
      </c>
      <c r="K30" s="94" t="s">
        <v>969</v>
      </c>
      <c r="L30" s="61"/>
      <c r="M30" s="95">
        <v>2.0</v>
      </c>
      <c r="N30" s="98">
        <f>SUM(M25:M30)</f>
        <v>286</v>
      </c>
      <c r="O30" s="94" t="s">
        <v>855</v>
      </c>
      <c r="P30" s="61"/>
      <c r="Q30" s="95">
        <v>1.0</v>
      </c>
      <c r="R30" s="98">
        <f>SUM(Q25:Q30)</f>
        <v>255</v>
      </c>
      <c r="S30" s="94" t="s">
        <v>858</v>
      </c>
      <c r="T30" s="61"/>
      <c r="U30" s="95">
        <v>1.0</v>
      </c>
      <c r="V30" s="98">
        <f>SUM(U25:U30)</f>
        <v>248</v>
      </c>
    </row>
    <row r="31" ht="14.25" customHeight="1">
      <c r="C31" s="99" t="s">
        <v>152</v>
      </c>
      <c r="D31" s="100"/>
      <c r="E31" s="28">
        <f>SUM(E6:E30)</f>
        <v>495</v>
      </c>
      <c r="F31" s="101"/>
      <c r="G31" s="99" t="s">
        <v>152</v>
      </c>
      <c r="H31" s="100"/>
      <c r="I31" s="28">
        <f>SUM(I6:I30)</f>
        <v>500</v>
      </c>
      <c r="J31" s="101"/>
      <c r="K31" s="23" t="s">
        <v>152</v>
      </c>
      <c r="L31" s="22"/>
      <c r="M31" s="102">
        <f>SUM(M6:M30)</f>
        <v>500</v>
      </c>
      <c r="N31" s="101"/>
      <c r="O31" s="23" t="s">
        <v>152</v>
      </c>
      <c r="P31" s="22"/>
      <c r="Q31" s="102">
        <f>SUM(Q6:Q30)</f>
        <v>490</v>
      </c>
      <c r="R31" s="101"/>
      <c r="S31" s="23" t="s">
        <v>152</v>
      </c>
      <c r="T31" s="22"/>
      <c r="U31" s="102">
        <f>SUM(U6:U30)</f>
        <v>500</v>
      </c>
      <c r="V31" s="101"/>
    </row>
    <row r="32" ht="14.25" customHeight="1">
      <c r="C32" s="23" t="s">
        <v>153</v>
      </c>
      <c r="D32" s="22"/>
      <c r="E32" s="121">
        <f>500-E31</f>
        <v>5</v>
      </c>
      <c r="F32" s="103"/>
      <c r="G32" s="23" t="s">
        <v>153</v>
      </c>
      <c r="H32" s="22"/>
      <c r="I32" s="102">
        <f>500-I31</f>
        <v>0</v>
      </c>
      <c r="J32" s="103"/>
      <c r="K32" s="23" t="s">
        <v>153</v>
      </c>
      <c r="L32" s="22"/>
      <c r="M32" s="102">
        <f>500-M31</f>
        <v>0</v>
      </c>
      <c r="N32" s="103"/>
      <c r="O32" s="23" t="s">
        <v>153</v>
      </c>
      <c r="P32" s="22"/>
      <c r="Q32" s="102">
        <f>500-Q31</f>
        <v>10</v>
      </c>
      <c r="R32" s="103"/>
      <c r="S32" s="23" t="s">
        <v>153</v>
      </c>
      <c r="T32" s="22"/>
      <c r="U32" s="102">
        <f>500-U31</f>
        <v>0</v>
      </c>
      <c r="V32" s="103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C39" s="24" t="s">
        <v>970</v>
      </c>
      <c r="D39" s="21"/>
      <c r="E39" s="21"/>
      <c r="F39" s="22"/>
      <c r="G39" s="24" t="s">
        <v>861</v>
      </c>
      <c r="H39" s="21"/>
      <c r="I39" s="21"/>
      <c r="J39" s="22"/>
      <c r="K39" s="24" t="s">
        <v>669</v>
      </c>
      <c r="L39" s="21"/>
      <c r="M39" s="21"/>
      <c r="N39" s="22"/>
      <c r="O39" s="24" t="s">
        <v>670</v>
      </c>
      <c r="P39" s="21"/>
      <c r="Q39" s="21"/>
      <c r="R39" s="22"/>
      <c r="S39" s="24" t="s">
        <v>971</v>
      </c>
      <c r="T39" s="21"/>
      <c r="U39" s="21"/>
      <c r="V39" s="22"/>
      <c r="X39" s="125" t="s">
        <v>800</v>
      </c>
    </row>
    <row r="40" ht="14.25" customHeight="1">
      <c r="C40" s="29" t="s">
        <v>20</v>
      </c>
      <c r="D40" s="122"/>
      <c r="E40" s="102" t="s">
        <v>21</v>
      </c>
      <c r="F40" s="102" t="s">
        <v>22</v>
      </c>
      <c r="G40" s="29" t="s">
        <v>20</v>
      </c>
      <c r="H40" s="30"/>
      <c r="I40" s="31" t="s">
        <v>21</v>
      </c>
      <c r="J40" s="28" t="s">
        <v>22</v>
      </c>
      <c r="K40" s="29" t="s">
        <v>20</v>
      </c>
      <c r="L40" s="30"/>
      <c r="M40" s="31" t="s">
        <v>21</v>
      </c>
      <c r="N40" s="28" t="s">
        <v>22</v>
      </c>
      <c r="O40" s="29" t="s">
        <v>20</v>
      </c>
      <c r="P40" s="30"/>
      <c r="Q40" s="127" t="s">
        <v>21</v>
      </c>
      <c r="R40" s="28" t="s">
        <v>22</v>
      </c>
      <c r="S40" s="29" t="s">
        <v>20</v>
      </c>
      <c r="T40" s="30"/>
      <c r="U40" s="31" t="s">
        <v>21</v>
      </c>
      <c r="V40" s="28" t="s">
        <v>22</v>
      </c>
      <c r="X40" s="125" t="s">
        <v>17</v>
      </c>
    </row>
    <row r="41" ht="14.25" customHeight="1">
      <c r="B41" s="104"/>
      <c r="C41" s="33" t="s">
        <v>802</v>
      </c>
      <c r="D41" s="34"/>
      <c r="E41" s="35">
        <v>33.0</v>
      </c>
      <c r="F41" s="124"/>
      <c r="G41" s="33" t="s">
        <v>550</v>
      </c>
      <c r="H41" s="34"/>
      <c r="I41" s="35">
        <v>48.0</v>
      </c>
      <c r="J41" s="38"/>
      <c r="K41" s="33" t="s">
        <v>862</v>
      </c>
      <c r="L41" s="34"/>
      <c r="M41" s="35">
        <v>61.0</v>
      </c>
      <c r="N41" s="38"/>
      <c r="O41" s="33" t="s">
        <v>972</v>
      </c>
      <c r="P41" s="34"/>
      <c r="Q41" s="35">
        <v>11.0</v>
      </c>
      <c r="R41" s="38"/>
      <c r="S41" s="33" t="s">
        <v>673</v>
      </c>
      <c r="T41" s="34"/>
      <c r="U41" s="35">
        <v>41.0</v>
      </c>
      <c r="V41" s="38"/>
    </row>
    <row r="42" ht="14.25" customHeight="1">
      <c r="B42" s="105" t="s">
        <v>28</v>
      </c>
      <c r="C42" s="33" t="s">
        <v>545</v>
      </c>
      <c r="D42" s="34"/>
      <c r="E42" s="41">
        <v>1.0</v>
      </c>
      <c r="F42" s="38"/>
      <c r="G42" s="33" t="s">
        <v>973</v>
      </c>
      <c r="H42" s="34"/>
      <c r="I42" s="41">
        <v>1.0</v>
      </c>
      <c r="J42" s="38"/>
      <c r="K42" s="33" t="s">
        <v>804</v>
      </c>
      <c r="L42" s="34"/>
      <c r="M42" s="41">
        <v>1.0</v>
      </c>
      <c r="N42" s="38"/>
      <c r="O42" s="33" t="s">
        <v>555</v>
      </c>
      <c r="P42" s="34"/>
      <c r="Q42" s="41">
        <v>4.0</v>
      </c>
      <c r="R42" s="38"/>
      <c r="S42" s="33" t="s">
        <v>864</v>
      </c>
      <c r="T42" s="34"/>
      <c r="U42" s="41">
        <v>1.0</v>
      </c>
      <c r="V42" s="38"/>
    </row>
    <row r="43" ht="14.25" customHeight="1">
      <c r="B43" s="106"/>
      <c r="C43" s="119" t="s">
        <v>679</v>
      </c>
      <c r="D43" s="120"/>
      <c r="E43" s="45">
        <v>6.0</v>
      </c>
      <c r="F43" s="48">
        <f>SUM(E41:E43)</f>
        <v>40</v>
      </c>
      <c r="G43" s="119" t="s">
        <v>974</v>
      </c>
      <c r="H43" s="120"/>
      <c r="I43" s="45">
        <v>1.0</v>
      </c>
      <c r="J43" s="48">
        <f>SUM(I41:I43)</f>
        <v>50</v>
      </c>
      <c r="K43" s="119" t="s">
        <v>865</v>
      </c>
      <c r="L43" s="120"/>
      <c r="M43" s="45">
        <v>1.0</v>
      </c>
      <c r="N43" s="48">
        <f>SUM(M41:M43)</f>
        <v>63</v>
      </c>
      <c r="O43" s="119" t="s">
        <v>681</v>
      </c>
      <c r="P43" s="120"/>
      <c r="Q43" s="45">
        <v>1.0</v>
      </c>
      <c r="R43" s="48">
        <f>SUM(Q41:Q43)</f>
        <v>16</v>
      </c>
      <c r="S43" s="119" t="s">
        <v>675</v>
      </c>
      <c r="T43" s="120"/>
      <c r="U43" s="45">
        <v>4.0</v>
      </c>
      <c r="V43" s="48">
        <f>SUM(U41:U43)</f>
        <v>46</v>
      </c>
    </row>
    <row r="44" ht="14.25" customHeight="1">
      <c r="B44" s="107"/>
      <c r="C44" s="50" t="s">
        <v>558</v>
      </c>
      <c r="D44" s="34"/>
      <c r="E44" s="51">
        <v>40.0</v>
      </c>
      <c r="F44" s="54"/>
      <c r="G44" s="50" t="s">
        <v>582</v>
      </c>
      <c r="H44" s="34"/>
      <c r="I44" s="51">
        <v>55.0</v>
      </c>
      <c r="J44" s="54"/>
      <c r="K44" s="50" t="s">
        <v>564</v>
      </c>
      <c r="L44" s="34"/>
      <c r="M44" s="51">
        <v>22.0</v>
      </c>
      <c r="N44" s="54"/>
      <c r="O44" s="50" t="s">
        <v>542</v>
      </c>
      <c r="P44" s="34"/>
      <c r="Q44" s="51">
        <v>35.0</v>
      </c>
      <c r="R44" s="54"/>
      <c r="S44" s="50" t="s">
        <v>699</v>
      </c>
      <c r="T44" s="34"/>
      <c r="U44" s="51">
        <v>26.0</v>
      </c>
      <c r="V44" s="54"/>
    </row>
    <row r="45" ht="14.25" customHeight="1">
      <c r="B45" s="108"/>
      <c r="C45" s="56" t="s">
        <v>817</v>
      </c>
      <c r="D45" s="3"/>
      <c r="E45" s="57">
        <v>30.0</v>
      </c>
      <c r="F45" s="54"/>
      <c r="G45" s="56" t="s">
        <v>975</v>
      </c>
      <c r="H45" s="3"/>
      <c r="I45" s="57">
        <v>7.0</v>
      </c>
      <c r="J45" s="54"/>
      <c r="K45" s="56" t="s">
        <v>868</v>
      </c>
      <c r="L45" s="3"/>
      <c r="M45" s="57">
        <v>12.0</v>
      </c>
      <c r="N45" s="54"/>
      <c r="O45" s="56" t="s">
        <v>976</v>
      </c>
      <c r="P45" s="3"/>
      <c r="Q45" s="57">
        <v>1.0</v>
      </c>
      <c r="R45" s="54"/>
      <c r="S45" s="56" t="s">
        <v>592</v>
      </c>
      <c r="T45" s="3"/>
      <c r="U45" s="57">
        <v>17.0</v>
      </c>
      <c r="V45" s="54"/>
    </row>
    <row r="46" ht="14.25" customHeight="1">
      <c r="B46" s="108"/>
      <c r="C46" s="56" t="s">
        <v>702</v>
      </c>
      <c r="D46" s="3"/>
      <c r="E46" s="57">
        <v>9.0</v>
      </c>
      <c r="F46" s="54"/>
      <c r="G46" s="56" t="s">
        <v>977</v>
      </c>
      <c r="H46" s="3"/>
      <c r="I46" s="57">
        <v>16.0</v>
      </c>
      <c r="J46" s="54"/>
      <c r="K46" s="56" t="s">
        <v>978</v>
      </c>
      <c r="L46" s="3"/>
      <c r="M46" s="57">
        <v>6.0</v>
      </c>
      <c r="N46" s="54"/>
      <c r="O46" s="56" t="s">
        <v>691</v>
      </c>
      <c r="P46" s="3"/>
      <c r="Q46" s="57">
        <v>18.0</v>
      </c>
      <c r="R46" s="54"/>
      <c r="S46" s="56" t="s">
        <v>588</v>
      </c>
      <c r="T46" s="3"/>
      <c r="U46" s="57">
        <v>16.0</v>
      </c>
      <c r="V46" s="54"/>
    </row>
    <row r="47" ht="14.25" customHeight="1">
      <c r="B47" s="109" t="s">
        <v>54</v>
      </c>
      <c r="C47" s="56" t="s">
        <v>979</v>
      </c>
      <c r="D47" s="3"/>
      <c r="E47" s="57">
        <v>9.0</v>
      </c>
      <c r="F47" s="54"/>
      <c r="G47" s="56" t="s">
        <v>980</v>
      </c>
      <c r="H47" s="3"/>
      <c r="I47" s="57">
        <v>12.0</v>
      </c>
      <c r="J47" s="54"/>
      <c r="K47" s="56" t="s">
        <v>822</v>
      </c>
      <c r="L47" s="3"/>
      <c r="M47" s="57">
        <v>4.0</v>
      </c>
      <c r="N47" s="54"/>
      <c r="O47" s="56" t="s">
        <v>717</v>
      </c>
      <c r="P47" s="3"/>
      <c r="Q47" s="57">
        <v>10.0</v>
      </c>
      <c r="R47" s="54"/>
      <c r="S47" s="56" t="s">
        <v>581</v>
      </c>
      <c r="T47" s="3"/>
      <c r="U47" s="57">
        <v>6.0</v>
      </c>
      <c r="V47" s="54"/>
    </row>
    <row r="48" ht="14.25" customHeight="1">
      <c r="B48" s="108"/>
      <c r="C48" s="56" t="s">
        <v>981</v>
      </c>
      <c r="D48" s="3"/>
      <c r="E48" s="57">
        <v>1.0</v>
      </c>
      <c r="F48" s="54"/>
      <c r="G48" s="56" t="s">
        <v>982</v>
      </c>
      <c r="H48" s="3"/>
      <c r="I48" s="57">
        <v>12.0</v>
      </c>
      <c r="J48" s="54"/>
      <c r="K48" s="56" t="s">
        <v>983</v>
      </c>
      <c r="L48" s="3"/>
      <c r="M48" s="57">
        <v>5.0</v>
      </c>
      <c r="N48" s="54"/>
      <c r="O48" s="56" t="s">
        <v>984</v>
      </c>
      <c r="P48" s="3"/>
      <c r="Q48" s="57">
        <v>5.0</v>
      </c>
      <c r="R48" s="54"/>
      <c r="S48" s="56" t="s">
        <v>698</v>
      </c>
      <c r="T48" s="3"/>
      <c r="U48" s="57">
        <v>5.0</v>
      </c>
      <c r="V48" s="54"/>
    </row>
    <row r="49" ht="14.25" customHeight="1">
      <c r="B49" s="108"/>
      <c r="C49" s="56" t="s">
        <v>985</v>
      </c>
      <c r="D49" s="3"/>
      <c r="E49" s="57">
        <v>20.0</v>
      </c>
      <c r="F49" s="54"/>
      <c r="G49" s="56" t="s">
        <v>986</v>
      </c>
      <c r="H49" s="3"/>
      <c r="I49" s="57">
        <v>15.0</v>
      </c>
      <c r="J49" s="54"/>
      <c r="K49" s="56" t="s">
        <v>705</v>
      </c>
      <c r="L49" s="3"/>
      <c r="M49" s="57">
        <v>2.0</v>
      </c>
      <c r="N49" s="54"/>
      <c r="O49" s="56" t="s">
        <v>809</v>
      </c>
      <c r="P49" s="3"/>
      <c r="Q49" s="57">
        <v>7.0</v>
      </c>
      <c r="R49" s="54"/>
      <c r="S49" s="56" t="s">
        <v>987</v>
      </c>
      <c r="T49" s="3"/>
      <c r="U49" s="57">
        <v>1.0</v>
      </c>
      <c r="V49" s="54"/>
    </row>
    <row r="50" ht="14.25" customHeight="1">
      <c r="B50" s="108"/>
      <c r="C50" s="56" t="s">
        <v>988</v>
      </c>
      <c r="D50" s="3"/>
      <c r="E50" s="57">
        <v>1.0</v>
      </c>
      <c r="F50" s="54"/>
      <c r="G50" s="56" t="s">
        <v>989</v>
      </c>
      <c r="H50" s="3"/>
      <c r="I50" s="57">
        <v>3.0</v>
      </c>
      <c r="J50" s="54"/>
      <c r="K50" s="56" t="s">
        <v>990</v>
      </c>
      <c r="L50" s="3"/>
      <c r="M50" s="57">
        <v>6.0</v>
      </c>
      <c r="N50" s="54"/>
      <c r="O50" s="56" t="s">
        <v>991</v>
      </c>
      <c r="P50" s="3"/>
      <c r="Q50" s="57">
        <v>1.0</v>
      </c>
      <c r="R50" s="54"/>
      <c r="S50" s="56" t="s">
        <v>867</v>
      </c>
      <c r="T50" s="3"/>
      <c r="U50" s="57">
        <v>6.0</v>
      </c>
      <c r="V50" s="54"/>
    </row>
    <row r="51" ht="14.25" customHeight="1">
      <c r="B51" s="110"/>
      <c r="C51" s="60" t="s">
        <v>869</v>
      </c>
      <c r="D51" s="61"/>
      <c r="E51" s="62">
        <v>1.0</v>
      </c>
      <c r="F51" s="65">
        <f>SUM(E44:E51)</f>
        <v>111</v>
      </c>
      <c r="G51" s="60" t="s">
        <v>992</v>
      </c>
      <c r="H51" s="61"/>
      <c r="I51" s="62">
        <v>1.0</v>
      </c>
      <c r="J51" s="65">
        <f>SUM(I44:I51)</f>
        <v>121</v>
      </c>
      <c r="K51" s="60" t="s">
        <v>993</v>
      </c>
      <c r="L51" s="61"/>
      <c r="M51" s="62">
        <v>1.0</v>
      </c>
      <c r="N51" s="65">
        <f>SUM(M44:M51)</f>
        <v>58</v>
      </c>
      <c r="O51" s="60" t="s">
        <v>994</v>
      </c>
      <c r="P51" s="61"/>
      <c r="Q51" s="62">
        <v>2.0</v>
      </c>
      <c r="R51" s="65">
        <f>SUM(Q44:Q51)</f>
        <v>79</v>
      </c>
      <c r="S51" s="60" t="s">
        <v>568</v>
      </c>
      <c r="T51" s="61"/>
      <c r="U51" s="62">
        <v>1.0</v>
      </c>
      <c r="V51" s="65">
        <f>SUM(U44:U51)</f>
        <v>78</v>
      </c>
      <c r="W51" s="125" t="s">
        <v>464</v>
      </c>
    </row>
    <row r="52" ht="14.25" customHeight="1">
      <c r="B52" s="111"/>
      <c r="C52" s="67" t="s">
        <v>735</v>
      </c>
      <c r="D52" s="68"/>
      <c r="E52" s="69">
        <v>60.0</v>
      </c>
      <c r="F52" s="72"/>
      <c r="G52" s="67" t="s">
        <v>828</v>
      </c>
      <c r="H52" s="68"/>
      <c r="I52" s="69">
        <v>17.0</v>
      </c>
      <c r="J52" s="72"/>
      <c r="K52" s="67" t="s">
        <v>756</v>
      </c>
      <c r="L52" s="68"/>
      <c r="M52" s="69">
        <v>17.0</v>
      </c>
      <c r="N52" s="72"/>
      <c r="O52" s="67" t="s">
        <v>733</v>
      </c>
      <c r="P52" s="68"/>
      <c r="Q52" s="69">
        <v>39.0</v>
      </c>
      <c r="R52" s="72"/>
      <c r="S52" s="67" t="s">
        <v>604</v>
      </c>
      <c r="T52" s="68"/>
      <c r="U52" s="69">
        <v>63.0</v>
      </c>
      <c r="V52" s="72"/>
    </row>
    <row r="53" ht="14.25" customHeight="1">
      <c r="B53" s="112"/>
      <c r="C53" s="74" t="s">
        <v>995</v>
      </c>
      <c r="D53" s="3"/>
      <c r="E53" s="75">
        <v>1.0</v>
      </c>
      <c r="F53" s="72"/>
      <c r="G53" s="74" t="s">
        <v>996</v>
      </c>
      <c r="H53" s="3"/>
      <c r="I53" s="75">
        <v>62.0</v>
      </c>
      <c r="J53" s="72"/>
      <c r="K53" s="74" t="s">
        <v>631</v>
      </c>
      <c r="L53" s="3"/>
      <c r="M53" s="75">
        <v>13.0</v>
      </c>
      <c r="N53" s="72"/>
      <c r="O53" s="74" t="s">
        <v>607</v>
      </c>
      <c r="P53" s="3"/>
      <c r="Q53" s="75">
        <v>25.0</v>
      </c>
      <c r="R53" s="72"/>
      <c r="S53" s="74" t="s">
        <v>621</v>
      </c>
      <c r="T53" s="3"/>
      <c r="U53" s="75">
        <v>10.0</v>
      </c>
      <c r="V53" s="72"/>
    </row>
    <row r="54" ht="14.25" customHeight="1">
      <c r="B54" s="112"/>
      <c r="C54" s="74" t="s">
        <v>997</v>
      </c>
      <c r="D54" s="3"/>
      <c r="E54" s="75">
        <v>26.0</v>
      </c>
      <c r="F54" s="72"/>
      <c r="G54" s="74" t="s">
        <v>624</v>
      </c>
      <c r="H54" s="3"/>
      <c r="I54" s="75">
        <v>30.0</v>
      </c>
      <c r="J54" s="72"/>
      <c r="K54" s="74" t="s">
        <v>613</v>
      </c>
      <c r="L54" s="3"/>
      <c r="M54" s="75">
        <v>20.0</v>
      </c>
      <c r="N54" s="72"/>
      <c r="O54" s="74" t="s">
        <v>763</v>
      </c>
      <c r="P54" s="3"/>
      <c r="Q54" s="75">
        <v>31.0</v>
      </c>
      <c r="R54" s="72"/>
      <c r="S54" s="74" t="s">
        <v>998</v>
      </c>
      <c r="T54" s="3"/>
      <c r="U54" s="75">
        <v>17.0</v>
      </c>
      <c r="V54" s="72"/>
    </row>
    <row r="55" ht="14.25" customHeight="1">
      <c r="B55" s="113" t="s">
        <v>95</v>
      </c>
      <c r="C55" s="74" t="s">
        <v>842</v>
      </c>
      <c r="D55" s="3"/>
      <c r="E55" s="75">
        <v>1.0</v>
      </c>
      <c r="F55" s="72"/>
      <c r="G55" s="74" t="s">
        <v>737</v>
      </c>
      <c r="H55" s="3"/>
      <c r="I55" s="75">
        <v>18.0</v>
      </c>
      <c r="J55" s="72"/>
      <c r="K55" s="74" t="s">
        <v>741</v>
      </c>
      <c r="L55" s="3"/>
      <c r="M55" s="75">
        <v>10.0</v>
      </c>
      <c r="N55" s="72"/>
      <c r="O55" s="74" t="s">
        <v>902</v>
      </c>
      <c r="P55" s="3"/>
      <c r="Q55" s="75">
        <v>1.0</v>
      </c>
      <c r="R55" s="72"/>
      <c r="S55" s="74" t="s">
        <v>895</v>
      </c>
      <c r="T55" s="3"/>
      <c r="U55" s="75">
        <v>2.0</v>
      </c>
      <c r="V55" s="72"/>
    </row>
    <row r="56" ht="14.25" customHeight="1">
      <c r="B56" s="112"/>
      <c r="C56" s="74" t="s">
        <v>999</v>
      </c>
      <c r="D56" s="3"/>
      <c r="E56" s="75">
        <v>28.0</v>
      </c>
      <c r="F56" s="72"/>
      <c r="G56" s="74" t="s">
        <v>1000</v>
      </c>
      <c r="H56" s="3"/>
      <c r="I56" s="75">
        <v>1.0</v>
      </c>
      <c r="J56" s="72"/>
      <c r="K56" s="74" t="s">
        <v>748</v>
      </c>
      <c r="L56" s="3"/>
      <c r="M56" s="75">
        <v>2.0</v>
      </c>
      <c r="N56" s="72"/>
      <c r="O56" s="74" t="s">
        <v>732</v>
      </c>
      <c r="P56" s="3"/>
      <c r="Q56" s="75">
        <v>10.0</v>
      </c>
      <c r="R56" s="72"/>
      <c r="S56" s="74" t="s">
        <v>1001</v>
      </c>
      <c r="T56" s="3"/>
      <c r="U56" s="75">
        <v>2.0</v>
      </c>
      <c r="V56" s="72"/>
    </row>
    <row r="57" ht="14.25" customHeight="1">
      <c r="B57" s="112"/>
      <c r="C57" s="74" t="s">
        <v>635</v>
      </c>
      <c r="D57" s="3"/>
      <c r="E57" s="75">
        <v>1.0</v>
      </c>
      <c r="F57" s="72"/>
      <c r="G57" s="74" t="s">
        <v>1002</v>
      </c>
      <c r="H57" s="3"/>
      <c r="I57" s="75">
        <v>13.0</v>
      </c>
      <c r="J57" s="72"/>
      <c r="K57" s="74" t="s">
        <v>843</v>
      </c>
      <c r="L57" s="3"/>
      <c r="M57" s="75">
        <v>6.0</v>
      </c>
      <c r="N57" s="72"/>
      <c r="O57" s="74" t="s">
        <v>598</v>
      </c>
      <c r="P57" s="3"/>
      <c r="Q57" s="75">
        <v>2.0</v>
      </c>
      <c r="R57" s="72"/>
      <c r="S57" s="74" t="s">
        <v>1003</v>
      </c>
      <c r="T57" s="3"/>
      <c r="U57" s="75">
        <v>5.0</v>
      </c>
      <c r="V57" s="72"/>
    </row>
    <row r="58" ht="14.25" customHeight="1">
      <c r="B58" s="112"/>
      <c r="C58" s="74" t="s">
        <v>743</v>
      </c>
      <c r="D58" s="3"/>
      <c r="E58" s="75">
        <v>4.0</v>
      </c>
      <c r="F58" s="72"/>
      <c r="G58" s="74" t="s">
        <v>844</v>
      </c>
      <c r="H58" s="3"/>
      <c r="I58" s="75">
        <v>1.0</v>
      </c>
      <c r="J58" s="72"/>
      <c r="K58" s="74" t="s">
        <v>1004</v>
      </c>
      <c r="L58" s="3"/>
      <c r="M58" s="75">
        <v>1.0</v>
      </c>
      <c r="N58" s="72"/>
      <c r="O58" s="74" t="s">
        <v>630</v>
      </c>
      <c r="P58" s="3"/>
      <c r="Q58" s="75">
        <v>4.0</v>
      </c>
      <c r="R58" s="72"/>
      <c r="S58" s="74" t="s">
        <v>1005</v>
      </c>
      <c r="T58" s="3"/>
      <c r="U58" s="75">
        <v>5.0</v>
      </c>
      <c r="V58" s="72"/>
    </row>
    <row r="59" ht="14.25" customHeight="1">
      <c r="B59" s="114"/>
      <c r="C59" s="78" t="s">
        <v>836</v>
      </c>
      <c r="D59" s="61"/>
      <c r="E59" s="79">
        <v>1.0</v>
      </c>
      <c r="F59" s="82">
        <f>SUM(E52:E59)</f>
        <v>122</v>
      </c>
      <c r="G59" s="78" t="s">
        <v>1006</v>
      </c>
      <c r="H59" s="61"/>
      <c r="I59" s="79">
        <v>1.0</v>
      </c>
      <c r="J59" s="82">
        <f>SUM(I52:I59)</f>
        <v>143</v>
      </c>
      <c r="K59" s="78" t="s">
        <v>1007</v>
      </c>
      <c r="L59" s="61"/>
      <c r="M59" s="79">
        <v>1.0</v>
      </c>
      <c r="N59" s="82">
        <f>SUM(M52:M59)</f>
        <v>70</v>
      </c>
      <c r="O59" s="78" t="s">
        <v>1008</v>
      </c>
      <c r="P59" s="61"/>
      <c r="Q59" s="79">
        <v>1.0</v>
      </c>
      <c r="R59" s="82">
        <f>SUM(Q52:Q59)</f>
        <v>113</v>
      </c>
      <c r="S59" s="78" t="s">
        <v>1009</v>
      </c>
      <c r="T59" s="61"/>
      <c r="U59" s="79">
        <v>1.0</v>
      </c>
      <c r="V59" s="82">
        <f>SUM(U52:U59)</f>
        <v>105</v>
      </c>
    </row>
    <row r="60" ht="14.25" customHeight="1">
      <c r="B60" s="115"/>
      <c r="C60" s="84" t="s">
        <v>651</v>
      </c>
      <c r="D60" s="68"/>
      <c r="E60" s="85">
        <v>140.0</v>
      </c>
      <c r="F60" s="88"/>
      <c r="G60" s="84" t="s">
        <v>848</v>
      </c>
      <c r="H60" s="68"/>
      <c r="I60" s="85">
        <v>101.0</v>
      </c>
      <c r="J60" s="88"/>
      <c r="K60" s="84" t="s">
        <v>775</v>
      </c>
      <c r="L60" s="68"/>
      <c r="M60" s="85">
        <v>196.0</v>
      </c>
      <c r="N60" s="88"/>
      <c r="O60" s="84" t="s">
        <v>784</v>
      </c>
      <c r="P60" s="68"/>
      <c r="Q60" s="85">
        <v>36.0</v>
      </c>
      <c r="R60" s="88"/>
      <c r="S60" s="84" t="s">
        <v>769</v>
      </c>
      <c r="T60" s="68"/>
      <c r="U60" s="85">
        <v>202.0</v>
      </c>
      <c r="V60" s="88"/>
    </row>
    <row r="61" ht="14.25" customHeight="1">
      <c r="B61" s="116"/>
      <c r="C61" s="90" t="s">
        <v>654</v>
      </c>
      <c r="D61" s="3"/>
      <c r="E61" s="91">
        <v>47.0</v>
      </c>
      <c r="F61" s="88"/>
      <c r="G61" s="90" t="s">
        <v>1010</v>
      </c>
      <c r="H61" s="3"/>
      <c r="I61" s="91">
        <v>40.0</v>
      </c>
      <c r="J61" s="88"/>
      <c r="K61" s="90" t="s">
        <v>854</v>
      </c>
      <c r="L61" s="3"/>
      <c r="M61" s="91">
        <v>65.0</v>
      </c>
      <c r="N61" s="88"/>
      <c r="O61" s="90" t="s">
        <v>910</v>
      </c>
      <c r="P61" s="3"/>
      <c r="Q61" s="91">
        <v>39.0</v>
      </c>
      <c r="R61" s="88"/>
      <c r="S61" s="90" t="s">
        <v>856</v>
      </c>
      <c r="T61" s="3"/>
      <c r="U61" s="91">
        <v>20.0</v>
      </c>
      <c r="V61" s="88"/>
    </row>
    <row r="62" ht="14.25" customHeight="1">
      <c r="B62" s="117" t="s">
        <v>131</v>
      </c>
      <c r="C62" s="90" t="s">
        <v>1011</v>
      </c>
      <c r="D62" s="3"/>
      <c r="E62" s="91">
        <v>21.0</v>
      </c>
      <c r="F62" s="88"/>
      <c r="G62" s="90" t="s">
        <v>1012</v>
      </c>
      <c r="H62" s="3"/>
      <c r="I62" s="91">
        <v>8.0</v>
      </c>
      <c r="J62" s="88"/>
      <c r="K62" s="90" t="s">
        <v>860</v>
      </c>
      <c r="L62" s="3"/>
      <c r="M62" s="91">
        <v>25.0</v>
      </c>
      <c r="N62" s="88"/>
      <c r="O62" s="90" t="s">
        <v>787</v>
      </c>
      <c r="P62" s="3"/>
      <c r="Q62" s="91">
        <v>108.0</v>
      </c>
      <c r="R62" s="88"/>
      <c r="S62" s="90" t="s">
        <v>1013</v>
      </c>
      <c r="T62" s="3"/>
      <c r="U62" s="91">
        <v>40.0</v>
      </c>
      <c r="V62" s="88"/>
    </row>
    <row r="63" ht="14.25" customHeight="1">
      <c r="B63" s="116"/>
      <c r="C63" s="90" t="s">
        <v>658</v>
      </c>
      <c r="D63" s="3"/>
      <c r="E63" s="91">
        <v>9.0</v>
      </c>
      <c r="F63" s="88"/>
      <c r="G63" s="90" t="s">
        <v>1014</v>
      </c>
      <c r="H63" s="3"/>
      <c r="I63" s="91">
        <v>7.0</v>
      </c>
      <c r="J63" s="88"/>
      <c r="K63" s="90" t="s">
        <v>638</v>
      </c>
      <c r="L63" s="3"/>
      <c r="M63" s="91">
        <v>7.0</v>
      </c>
      <c r="N63" s="88"/>
      <c r="O63" s="90" t="s">
        <v>1015</v>
      </c>
      <c r="P63" s="3"/>
      <c r="Q63" s="91">
        <v>101.0</v>
      </c>
      <c r="R63" s="88"/>
      <c r="S63" s="90" t="s">
        <v>1016</v>
      </c>
      <c r="T63" s="3"/>
      <c r="U63" s="91">
        <v>4.0</v>
      </c>
      <c r="V63" s="88"/>
    </row>
    <row r="64" ht="14.25" customHeight="1">
      <c r="B64" s="116"/>
      <c r="C64" s="90" t="s">
        <v>1017</v>
      </c>
      <c r="D64" s="3"/>
      <c r="E64" s="91">
        <v>8.0</v>
      </c>
      <c r="F64" s="88"/>
      <c r="G64" s="90" t="s">
        <v>1018</v>
      </c>
      <c r="H64" s="3"/>
      <c r="I64" s="91">
        <v>19.0</v>
      </c>
      <c r="J64" s="88"/>
      <c r="K64" s="90" t="s">
        <v>857</v>
      </c>
      <c r="L64" s="3"/>
      <c r="M64" s="91">
        <v>8.0</v>
      </c>
      <c r="N64" s="88"/>
      <c r="O64" s="90" t="s">
        <v>916</v>
      </c>
      <c r="P64" s="3"/>
      <c r="Q64" s="91">
        <v>1.0</v>
      </c>
      <c r="R64" s="88"/>
      <c r="S64" s="90" t="s">
        <v>1019</v>
      </c>
      <c r="T64" s="3"/>
      <c r="U64" s="91">
        <v>2.0</v>
      </c>
      <c r="V64" s="88"/>
    </row>
    <row r="65" ht="14.25" customHeight="1">
      <c r="B65" s="118"/>
      <c r="C65" s="94" t="s">
        <v>904</v>
      </c>
      <c r="D65" s="61"/>
      <c r="E65" s="95">
        <v>1.0</v>
      </c>
      <c r="F65" s="98">
        <f>SUM(E60:E65)</f>
        <v>226</v>
      </c>
      <c r="G65" s="94" t="s">
        <v>1020</v>
      </c>
      <c r="H65" s="61"/>
      <c r="I65" s="95">
        <v>11.0</v>
      </c>
      <c r="J65" s="98">
        <f>SUM(I60:I65)</f>
        <v>186</v>
      </c>
      <c r="K65" s="94" t="s">
        <v>663</v>
      </c>
      <c r="L65" s="61"/>
      <c r="M65" s="95">
        <v>8.0</v>
      </c>
      <c r="N65" s="98">
        <f>SUM(M60:M65)</f>
        <v>309</v>
      </c>
      <c r="O65" s="94" t="s">
        <v>859</v>
      </c>
      <c r="P65" s="61"/>
      <c r="Q65" s="95">
        <v>7.0</v>
      </c>
      <c r="R65" s="98">
        <f>SUM(Q60:Q65)</f>
        <v>292</v>
      </c>
      <c r="S65" s="94" t="s">
        <v>779</v>
      </c>
      <c r="T65" s="61"/>
      <c r="U65" s="95">
        <v>1.0</v>
      </c>
      <c r="V65" s="98">
        <f>SUM(U60:U65)</f>
        <v>269</v>
      </c>
    </row>
    <row r="66" ht="14.25" customHeight="1">
      <c r="C66" s="23" t="s">
        <v>152</v>
      </c>
      <c r="D66" s="22"/>
      <c r="E66" s="102">
        <f>SUM(E41:E65)</f>
        <v>499</v>
      </c>
      <c r="F66" s="101"/>
      <c r="G66" s="23" t="s">
        <v>152</v>
      </c>
      <c r="H66" s="22"/>
      <c r="I66" s="102">
        <f>SUM(I41:I65)</f>
        <v>500</v>
      </c>
      <c r="J66" s="101"/>
      <c r="K66" s="23" t="s">
        <v>152</v>
      </c>
      <c r="L66" s="22"/>
      <c r="M66" s="102">
        <f>SUM(M41:M65)</f>
        <v>500</v>
      </c>
      <c r="N66" s="101"/>
      <c r="O66" s="23" t="s">
        <v>152</v>
      </c>
      <c r="P66" s="22"/>
      <c r="Q66" s="102">
        <f>SUM(Q41:Q65)</f>
        <v>500</v>
      </c>
      <c r="R66" s="101"/>
      <c r="S66" s="23" t="s">
        <v>152</v>
      </c>
      <c r="T66" s="22"/>
      <c r="U66" s="102">
        <f>SUM(U41:U65)</f>
        <v>498</v>
      </c>
      <c r="V66" s="101"/>
    </row>
    <row r="67" ht="14.25" customHeight="1">
      <c r="C67" s="23" t="s">
        <v>153</v>
      </c>
      <c r="D67" s="22"/>
      <c r="E67" s="102">
        <f>500-E66</f>
        <v>1</v>
      </c>
      <c r="F67" s="103"/>
      <c r="G67" s="23" t="s">
        <v>153</v>
      </c>
      <c r="H67" s="22"/>
      <c r="I67" s="102">
        <f>500-I66</f>
        <v>0</v>
      </c>
      <c r="J67" s="103"/>
      <c r="K67" s="23" t="s">
        <v>153</v>
      </c>
      <c r="L67" s="22"/>
      <c r="M67" s="102">
        <f>500-M66</f>
        <v>0</v>
      </c>
      <c r="N67" s="103"/>
      <c r="O67" s="23" t="s">
        <v>153</v>
      </c>
      <c r="P67" s="22"/>
      <c r="Q67" s="102">
        <f>500-Q66</f>
        <v>0</v>
      </c>
      <c r="R67" s="103"/>
      <c r="S67" s="23" t="s">
        <v>153</v>
      </c>
      <c r="T67" s="22"/>
      <c r="U67" s="121">
        <f>500-U66</f>
        <v>2</v>
      </c>
      <c r="V67" s="103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7">
    <mergeCell ref="S62:T62"/>
    <mergeCell ref="S63:T63"/>
    <mergeCell ref="O58:P58"/>
    <mergeCell ref="O59:P59"/>
    <mergeCell ref="O60:P60"/>
    <mergeCell ref="O61:P61"/>
    <mergeCell ref="S61:T61"/>
    <mergeCell ref="O62:P62"/>
    <mergeCell ref="O63:P63"/>
    <mergeCell ref="O9:P9"/>
    <mergeCell ref="O10:P10"/>
    <mergeCell ref="O11:P11"/>
    <mergeCell ref="O12:P12"/>
    <mergeCell ref="O13:P13"/>
    <mergeCell ref="O14:P14"/>
    <mergeCell ref="O15:P15"/>
    <mergeCell ref="O25:P25"/>
    <mergeCell ref="O26:P26"/>
    <mergeCell ref="O30:P30"/>
    <mergeCell ref="O31:P31"/>
    <mergeCell ref="O32:P32"/>
    <mergeCell ref="O39:R39"/>
    <mergeCell ref="S39:V39"/>
    <mergeCell ref="O41:P41"/>
    <mergeCell ref="S41:T41"/>
    <mergeCell ref="O42:P42"/>
    <mergeCell ref="S42:T42"/>
    <mergeCell ref="O43:P43"/>
    <mergeCell ref="S43:T43"/>
    <mergeCell ref="S44:T44"/>
    <mergeCell ref="O44:P44"/>
    <mergeCell ref="O45:P45"/>
    <mergeCell ref="O46:P46"/>
    <mergeCell ref="O47:P47"/>
    <mergeCell ref="O48:P48"/>
    <mergeCell ref="O49:P49"/>
    <mergeCell ref="O50:P50"/>
    <mergeCell ref="S45:T45"/>
    <mergeCell ref="S46:T46"/>
    <mergeCell ref="S47:T47"/>
    <mergeCell ref="S48:T48"/>
    <mergeCell ref="S49:T49"/>
    <mergeCell ref="S50:T50"/>
    <mergeCell ref="S51:T51"/>
    <mergeCell ref="O51:P51"/>
    <mergeCell ref="O52:P52"/>
    <mergeCell ref="O53:P53"/>
    <mergeCell ref="O54:P54"/>
    <mergeCell ref="O55:P55"/>
    <mergeCell ref="O56:P56"/>
    <mergeCell ref="O57:P57"/>
    <mergeCell ref="O64:P64"/>
    <mergeCell ref="S64:T64"/>
    <mergeCell ref="G6:H6"/>
    <mergeCell ref="K6:L6"/>
    <mergeCell ref="C7:D7"/>
    <mergeCell ref="G7:H7"/>
    <mergeCell ref="K7:L7"/>
    <mergeCell ref="G8:H8"/>
    <mergeCell ref="K8:L8"/>
    <mergeCell ref="C8:D8"/>
    <mergeCell ref="C9:D9"/>
    <mergeCell ref="G9:H9"/>
    <mergeCell ref="K9:L9"/>
    <mergeCell ref="C10:D10"/>
    <mergeCell ref="K10:L10"/>
    <mergeCell ref="K11:L11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9:J39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66:H66"/>
    <mergeCell ref="G67:H67"/>
    <mergeCell ref="G59:H59"/>
    <mergeCell ref="G60:H60"/>
    <mergeCell ref="G61:H61"/>
    <mergeCell ref="G62:H62"/>
    <mergeCell ref="G63:H63"/>
    <mergeCell ref="G64:H64"/>
    <mergeCell ref="G65:H65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9:F39"/>
    <mergeCell ref="C38:D38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61:D61"/>
    <mergeCell ref="C62:D62"/>
    <mergeCell ref="C63:D63"/>
    <mergeCell ref="C64:D64"/>
    <mergeCell ref="C65:D65"/>
    <mergeCell ref="C66:D66"/>
    <mergeCell ref="C67:D67"/>
    <mergeCell ref="C54:D54"/>
    <mergeCell ref="C55:D55"/>
    <mergeCell ref="C56:D56"/>
    <mergeCell ref="C57:D57"/>
    <mergeCell ref="C58:D58"/>
    <mergeCell ref="C59:D59"/>
    <mergeCell ref="C60:D60"/>
    <mergeCell ref="O23:P23"/>
    <mergeCell ref="O24:P24"/>
    <mergeCell ref="O16:P16"/>
    <mergeCell ref="O17:P17"/>
    <mergeCell ref="O18:P18"/>
    <mergeCell ref="O19:P19"/>
    <mergeCell ref="O20:P20"/>
    <mergeCell ref="O21:P21"/>
    <mergeCell ref="O22:P22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30:L30"/>
    <mergeCell ref="K31:L31"/>
    <mergeCell ref="K32:L32"/>
    <mergeCell ref="K39:N39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65:L65"/>
    <mergeCell ref="K66:L66"/>
    <mergeCell ref="K67:L67"/>
    <mergeCell ref="K58:L58"/>
    <mergeCell ref="K59:L59"/>
    <mergeCell ref="K60:L60"/>
    <mergeCell ref="K61:L61"/>
    <mergeCell ref="K62:L62"/>
    <mergeCell ref="K63:L63"/>
    <mergeCell ref="K64:L64"/>
    <mergeCell ref="H1:Q1"/>
    <mergeCell ref="C4:F4"/>
    <mergeCell ref="G4:J4"/>
    <mergeCell ref="K4:N4"/>
    <mergeCell ref="O4:R4"/>
    <mergeCell ref="S4:V4"/>
    <mergeCell ref="C6:D6"/>
    <mergeCell ref="O6:P6"/>
    <mergeCell ref="S6:T6"/>
    <mergeCell ref="O7:P7"/>
    <mergeCell ref="S7:T7"/>
    <mergeCell ref="O8:P8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K26:L26"/>
    <mergeCell ref="K27:L27"/>
    <mergeCell ref="O27:P27"/>
    <mergeCell ref="O28:P28"/>
    <mergeCell ref="O29:P29"/>
    <mergeCell ref="K28:L28"/>
    <mergeCell ref="K29:L29"/>
    <mergeCell ref="S31:T31"/>
    <mergeCell ref="S32:T32"/>
    <mergeCell ref="S24:T24"/>
    <mergeCell ref="S25:T25"/>
    <mergeCell ref="S26:T26"/>
    <mergeCell ref="S27:T27"/>
    <mergeCell ref="S28:T28"/>
    <mergeCell ref="S29:T29"/>
    <mergeCell ref="S30:T30"/>
    <mergeCell ref="S59:T59"/>
    <mergeCell ref="S60:T60"/>
    <mergeCell ref="O65:P65"/>
    <mergeCell ref="S65:T65"/>
    <mergeCell ref="O66:P66"/>
    <mergeCell ref="S66:T66"/>
    <mergeCell ref="O67:P67"/>
    <mergeCell ref="S67:T67"/>
    <mergeCell ref="S52:T52"/>
    <mergeCell ref="S53:T53"/>
    <mergeCell ref="S54:T54"/>
    <mergeCell ref="S55:T55"/>
    <mergeCell ref="S56:T56"/>
    <mergeCell ref="S57:T57"/>
    <mergeCell ref="S58:T58"/>
  </mergeCells>
  <dataValidations>
    <dataValidation type="list" allowBlank="1" sqref="C6:C30 G6:G30 K6:K30 O6:O30 S6:S30 C41:C65 G41:G65 K41:K65 O41:O65 S41:S65">
      <formula1>Lista!$C$1:$C$998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57"/>
    <col customWidth="1" min="7" max="22" width="8.71"/>
    <col customWidth="1" min="23" max="26" width="16.43"/>
  </cols>
  <sheetData>
    <row r="1" ht="28.5" customHeight="1">
      <c r="H1" s="20" t="s">
        <v>1021</v>
      </c>
      <c r="I1" s="21"/>
      <c r="J1" s="21"/>
      <c r="K1" s="21"/>
      <c r="L1" s="21"/>
      <c r="M1" s="21"/>
      <c r="N1" s="21"/>
      <c r="O1" s="21"/>
      <c r="P1" s="21"/>
      <c r="Q1" s="22"/>
    </row>
    <row r="2" ht="14.25" customHeight="1"/>
    <row r="3" ht="14.25" customHeight="1"/>
    <row r="4" ht="14.25" customHeight="1">
      <c r="C4" s="24" t="s">
        <v>11</v>
      </c>
      <c r="D4" s="21"/>
      <c r="E4" s="21"/>
      <c r="F4" s="22"/>
      <c r="G4" s="24" t="s">
        <v>537</v>
      </c>
      <c r="H4" s="21"/>
      <c r="I4" s="21"/>
      <c r="J4" s="22"/>
      <c r="K4" s="24" t="s">
        <v>918</v>
      </c>
      <c r="L4" s="21"/>
      <c r="M4" s="21"/>
      <c r="N4" s="22"/>
      <c r="O4" s="24" t="s">
        <v>539</v>
      </c>
      <c r="P4" s="21"/>
      <c r="Q4" s="21"/>
      <c r="R4" s="22"/>
      <c r="S4" s="24" t="s">
        <v>540</v>
      </c>
      <c r="T4" s="21"/>
      <c r="U4" s="21"/>
      <c r="V4" s="22"/>
    </row>
    <row r="5" ht="14.25" customHeight="1">
      <c r="C5" s="25" t="s">
        <v>20</v>
      </c>
      <c r="D5" s="26"/>
      <c r="E5" s="27" t="s">
        <v>21</v>
      </c>
      <c r="F5" s="28" t="s">
        <v>22</v>
      </c>
      <c r="G5" s="25" t="s">
        <v>20</v>
      </c>
      <c r="H5" s="26"/>
      <c r="I5" s="27" t="s">
        <v>21</v>
      </c>
      <c r="J5" s="28" t="s">
        <v>22</v>
      </c>
      <c r="K5" s="29" t="s">
        <v>20</v>
      </c>
      <c r="L5" s="30"/>
      <c r="M5" s="31" t="s">
        <v>21</v>
      </c>
      <c r="N5" s="28" t="s">
        <v>22</v>
      </c>
      <c r="O5" s="126" t="s">
        <v>20</v>
      </c>
      <c r="P5" s="30"/>
      <c r="Q5" s="31" t="s">
        <v>21</v>
      </c>
      <c r="R5" s="28" t="s">
        <v>22</v>
      </c>
      <c r="S5" s="29" t="s">
        <v>20</v>
      </c>
      <c r="T5" s="30"/>
      <c r="U5" s="31" t="s">
        <v>21</v>
      </c>
      <c r="V5" s="28" t="s">
        <v>22</v>
      </c>
    </row>
    <row r="6" ht="14.25" customHeight="1">
      <c r="B6" s="32"/>
      <c r="C6" s="33" t="s">
        <v>802</v>
      </c>
      <c r="D6" s="34"/>
      <c r="E6" s="35">
        <v>40.0</v>
      </c>
      <c r="F6" s="36"/>
      <c r="G6" s="33" t="s">
        <v>546</v>
      </c>
      <c r="H6" s="34"/>
      <c r="I6" s="35">
        <v>44.0</v>
      </c>
      <c r="J6" s="37"/>
      <c r="K6" s="33" t="s">
        <v>1022</v>
      </c>
      <c r="L6" s="34"/>
      <c r="M6" s="35">
        <v>8.0</v>
      </c>
      <c r="N6" s="38"/>
      <c r="O6" s="33" t="s">
        <v>673</v>
      </c>
      <c r="P6" s="34"/>
      <c r="Q6" s="35">
        <v>17.0</v>
      </c>
      <c r="R6" s="38"/>
      <c r="S6" s="33" t="s">
        <v>550</v>
      </c>
      <c r="T6" s="34"/>
      <c r="U6" s="35">
        <v>52.0</v>
      </c>
      <c r="V6" s="38"/>
    </row>
    <row r="7" ht="14.25" customHeight="1">
      <c r="B7" s="39" t="s">
        <v>28</v>
      </c>
      <c r="C7" s="33" t="s">
        <v>552</v>
      </c>
      <c r="D7" s="34"/>
      <c r="E7" s="41">
        <v>1.0</v>
      </c>
      <c r="F7" s="36"/>
      <c r="G7" s="33" t="s">
        <v>681</v>
      </c>
      <c r="H7" s="34"/>
      <c r="I7" s="41">
        <v>2.0</v>
      </c>
      <c r="J7" s="37"/>
      <c r="K7" s="33" t="s">
        <v>1023</v>
      </c>
      <c r="L7" s="34"/>
      <c r="M7" s="41">
        <v>2.0</v>
      </c>
      <c r="N7" s="38"/>
      <c r="O7" s="33" t="s">
        <v>864</v>
      </c>
      <c r="P7" s="34"/>
      <c r="Q7" s="41">
        <v>2.0</v>
      </c>
      <c r="R7" s="38"/>
      <c r="S7" s="33" t="s">
        <v>924</v>
      </c>
      <c r="T7" s="34"/>
      <c r="U7" s="41">
        <v>1.0</v>
      </c>
      <c r="V7" s="38"/>
    </row>
    <row r="8" ht="14.25" customHeight="1">
      <c r="B8" s="42"/>
      <c r="C8" s="119" t="s">
        <v>922</v>
      </c>
      <c r="D8" s="120"/>
      <c r="E8" s="45">
        <v>1.0</v>
      </c>
      <c r="F8" s="46">
        <f>SUM(E6:E8)</f>
        <v>42</v>
      </c>
      <c r="G8" s="119" t="s">
        <v>1024</v>
      </c>
      <c r="H8" s="120"/>
      <c r="I8" s="45">
        <v>1.0</v>
      </c>
      <c r="J8" s="47">
        <f>SUM(I6:I8)</f>
        <v>47</v>
      </c>
      <c r="K8" s="119" t="s">
        <v>920</v>
      </c>
      <c r="L8" s="120"/>
      <c r="M8" s="45">
        <v>13.0</v>
      </c>
      <c r="N8" s="48">
        <f>SUM(M6:M8)</f>
        <v>23</v>
      </c>
      <c r="O8" s="119" t="s">
        <v>556</v>
      </c>
      <c r="P8" s="120"/>
      <c r="Q8" s="45">
        <v>13.0</v>
      </c>
      <c r="R8" s="48">
        <f>SUM(Q6:Q8)</f>
        <v>32</v>
      </c>
      <c r="S8" s="119" t="s">
        <v>675</v>
      </c>
      <c r="T8" s="120"/>
      <c r="U8" s="45">
        <v>1.0</v>
      </c>
      <c r="V8" s="48">
        <f>SUM(U6:U8)</f>
        <v>54</v>
      </c>
    </row>
    <row r="9" ht="14.25" customHeight="1">
      <c r="B9" s="49"/>
      <c r="C9" s="50" t="s">
        <v>699</v>
      </c>
      <c r="D9" s="34"/>
      <c r="E9" s="51">
        <v>35.0</v>
      </c>
      <c r="F9" s="52"/>
      <c r="G9" s="50" t="s">
        <v>564</v>
      </c>
      <c r="H9" s="34"/>
      <c r="I9" s="51">
        <v>40.0</v>
      </c>
      <c r="J9" s="53"/>
      <c r="K9" s="50" t="s">
        <v>1025</v>
      </c>
      <c r="L9" s="34"/>
      <c r="M9" s="51">
        <v>8.0</v>
      </c>
      <c r="N9" s="54"/>
      <c r="O9" s="50" t="s">
        <v>808</v>
      </c>
      <c r="P9" s="34"/>
      <c r="Q9" s="51">
        <v>27.0</v>
      </c>
      <c r="R9" s="54"/>
      <c r="S9" s="50" t="s">
        <v>1026</v>
      </c>
      <c r="T9" s="34"/>
      <c r="U9" s="51">
        <v>9.0</v>
      </c>
      <c r="V9" s="54"/>
    </row>
    <row r="10" ht="14.25" customHeight="1">
      <c r="B10" s="55"/>
      <c r="C10" s="56" t="s">
        <v>934</v>
      </c>
      <c r="D10" s="3"/>
      <c r="E10" s="57">
        <v>16.0</v>
      </c>
      <c r="F10" s="52"/>
      <c r="G10" s="56" t="s">
        <v>870</v>
      </c>
      <c r="H10" s="3"/>
      <c r="I10" s="57">
        <v>35.0</v>
      </c>
      <c r="J10" s="53"/>
      <c r="K10" s="56" t="s">
        <v>562</v>
      </c>
      <c r="L10" s="3"/>
      <c r="M10" s="57">
        <v>5.0</v>
      </c>
      <c r="N10" s="54"/>
      <c r="O10" s="56" t="s">
        <v>1027</v>
      </c>
      <c r="P10" s="3"/>
      <c r="Q10" s="57">
        <v>30.0</v>
      </c>
      <c r="R10" s="54"/>
      <c r="S10" s="56" t="s">
        <v>983</v>
      </c>
      <c r="T10" s="3"/>
      <c r="U10" s="57">
        <v>15.0</v>
      </c>
      <c r="V10" s="54"/>
    </row>
    <row r="11" ht="14.25" customHeight="1">
      <c r="B11" s="55"/>
      <c r="C11" s="56" t="s">
        <v>1028</v>
      </c>
      <c r="D11" s="3"/>
      <c r="E11" s="57">
        <v>25.0</v>
      </c>
      <c r="F11" s="52"/>
      <c r="G11" s="56" t="s">
        <v>1029</v>
      </c>
      <c r="H11" s="3"/>
      <c r="I11" s="57">
        <v>3.0</v>
      </c>
      <c r="J11" s="53"/>
      <c r="K11" s="56" t="s">
        <v>592</v>
      </c>
      <c r="L11" s="3"/>
      <c r="M11" s="57">
        <v>7.0</v>
      </c>
      <c r="N11" s="54"/>
      <c r="O11" s="56" t="s">
        <v>566</v>
      </c>
      <c r="P11" s="3"/>
      <c r="Q11" s="57">
        <v>21.0</v>
      </c>
      <c r="R11" s="54"/>
      <c r="S11" s="56" t="s">
        <v>869</v>
      </c>
      <c r="T11" s="3"/>
      <c r="U11" s="57">
        <v>10.0</v>
      </c>
      <c r="V11" s="54"/>
    </row>
    <row r="12" ht="14.25" customHeight="1">
      <c r="B12" s="58" t="s">
        <v>54</v>
      </c>
      <c r="C12" s="56" t="s">
        <v>986</v>
      </c>
      <c r="D12" s="3"/>
      <c r="E12" s="57">
        <v>12.0</v>
      </c>
      <c r="F12" s="52"/>
      <c r="G12" s="56" t="s">
        <v>929</v>
      </c>
      <c r="H12" s="3"/>
      <c r="I12" s="57">
        <v>13.0</v>
      </c>
      <c r="J12" s="53"/>
      <c r="K12" s="56" t="s">
        <v>1030</v>
      </c>
      <c r="L12" s="3"/>
      <c r="M12" s="57">
        <v>5.0</v>
      </c>
      <c r="N12" s="54"/>
      <c r="O12" s="56" t="s">
        <v>985</v>
      </c>
      <c r="P12" s="3"/>
      <c r="Q12" s="57">
        <v>24.0</v>
      </c>
      <c r="R12" s="54"/>
      <c r="S12" s="56" t="s">
        <v>580</v>
      </c>
      <c r="T12" s="3"/>
      <c r="U12" s="57">
        <v>9.0</v>
      </c>
      <c r="V12" s="54"/>
    </row>
    <row r="13" ht="14.25" customHeight="1">
      <c r="B13" s="55"/>
      <c r="C13" s="56" t="s">
        <v>1031</v>
      </c>
      <c r="D13" s="3"/>
      <c r="E13" s="57">
        <v>4.0</v>
      </c>
      <c r="F13" s="52"/>
      <c r="G13" s="56" t="s">
        <v>1032</v>
      </c>
      <c r="H13" s="3"/>
      <c r="I13" s="57">
        <v>4.0</v>
      </c>
      <c r="J13" s="53"/>
      <c r="K13" s="56" t="s">
        <v>700</v>
      </c>
      <c r="L13" s="3"/>
      <c r="M13" s="57">
        <v>2.0</v>
      </c>
      <c r="N13" s="54"/>
      <c r="O13" s="56" t="s">
        <v>1033</v>
      </c>
      <c r="P13" s="3"/>
      <c r="Q13" s="57">
        <v>4.0</v>
      </c>
      <c r="R13" s="54"/>
      <c r="S13" s="56" t="s">
        <v>1034</v>
      </c>
      <c r="T13" s="3"/>
      <c r="U13" s="57">
        <v>15.0</v>
      </c>
      <c r="V13" s="54"/>
    </row>
    <row r="14" ht="14.25" customHeight="1">
      <c r="B14" s="55"/>
      <c r="C14" s="56" t="s">
        <v>885</v>
      </c>
      <c r="D14" s="3"/>
      <c r="E14" s="57">
        <v>5.0</v>
      </c>
      <c r="F14" s="52"/>
      <c r="G14" s="56" t="s">
        <v>1035</v>
      </c>
      <c r="H14" s="3"/>
      <c r="I14" s="57">
        <v>4.0</v>
      </c>
      <c r="J14" s="53"/>
      <c r="K14" s="56" t="s">
        <v>991</v>
      </c>
      <c r="L14" s="3"/>
      <c r="M14" s="57">
        <v>1.0</v>
      </c>
      <c r="N14" s="54"/>
      <c r="O14" s="56" t="s">
        <v>975</v>
      </c>
      <c r="P14" s="3"/>
      <c r="Q14" s="57">
        <v>1.0</v>
      </c>
      <c r="R14" s="54"/>
      <c r="S14" s="56" t="s">
        <v>984</v>
      </c>
      <c r="T14" s="3"/>
      <c r="U14" s="57">
        <v>4.0</v>
      </c>
      <c r="V14" s="54"/>
    </row>
    <row r="15" ht="14.25" customHeight="1">
      <c r="B15" s="55"/>
      <c r="C15" s="56" t="s">
        <v>994</v>
      </c>
      <c r="D15" s="3"/>
      <c r="E15" s="57">
        <v>2.0</v>
      </c>
      <c r="F15" s="52"/>
      <c r="G15" s="56" t="s">
        <v>1036</v>
      </c>
      <c r="H15" s="3"/>
      <c r="I15" s="57">
        <v>1.0</v>
      </c>
      <c r="J15" s="53"/>
      <c r="K15" s="56" t="s">
        <v>718</v>
      </c>
      <c r="L15" s="3"/>
      <c r="M15" s="57">
        <v>4.0</v>
      </c>
      <c r="N15" s="54"/>
      <c r="O15" s="56" t="s">
        <v>1037</v>
      </c>
      <c r="P15" s="3"/>
      <c r="Q15" s="57">
        <v>1.0</v>
      </c>
      <c r="R15" s="54"/>
      <c r="S15" s="56" t="s">
        <v>993</v>
      </c>
      <c r="T15" s="3"/>
      <c r="U15" s="57">
        <v>3.0</v>
      </c>
      <c r="V15" s="54"/>
    </row>
    <row r="16" ht="14.25" customHeight="1">
      <c r="B16" s="59"/>
      <c r="C16" s="60" t="s">
        <v>1038</v>
      </c>
      <c r="D16" s="61"/>
      <c r="E16" s="62">
        <v>1.0</v>
      </c>
      <c r="F16" s="63">
        <f>SUM(E9:E16)</f>
        <v>100</v>
      </c>
      <c r="G16" s="60" t="s">
        <v>1039</v>
      </c>
      <c r="H16" s="61"/>
      <c r="I16" s="62">
        <v>1.0</v>
      </c>
      <c r="J16" s="64">
        <f>SUM(I9:I16)</f>
        <v>101</v>
      </c>
      <c r="K16" s="60" t="s">
        <v>927</v>
      </c>
      <c r="L16" s="61"/>
      <c r="M16" s="62">
        <v>2.0</v>
      </c>
      <c r="N16" s="65">
        <f>SUM(M9:M16)</f>
        <v>34</v>
      </c>
      <c r="O16" s="60" t="s">
        <v>1040</v>
      </c>
      <c r="P16" s="61"/>
      <c r="Q16" s="62">
        <v>1.0</v>
      </c>
      <c r="R16" s="65">
        <f>SUM(Q9:Q16)</f>
        <v>109</v>
      </c>
      <c r="S16" s="60" t="s">
        <v>1041</v>
      </c>
      <c r="T16" s="61"/>
      <c r="U16" s="62">
        <v>1.0</v>
      </c>
      <c r="V16" s="65">
        <f>SUM(U9:U16)</f>
        <v>66</v>
      </c>
    </row>
    <row r="17" ht="14.25" customHeight="1">
      <c r="B17" s="66"/>
      <c r="C17" s="67" t="s">
        <v>1003</v>
      </c>
      <c r="D17" s="68"/>
      <c r="E17" s="69">
        <v>36.0</v>
      </c>
      <c r="F17" s="70"/>
      <c r="G17" s="67" t="s">
        <v>739</v>
      </c>
      <c r="H17" s="68"/>
      <c r="I17" s="69">
        <v>70.0</v>
      </c>
      <c r="J17" s="71"/>
      <c r="K17" s="67" t="s">
        <v>604</v>
      </c>
      <c r="L17" s="68"/>
      <c r="M17" s="69">
        <v>80.0</v>
      </c>
      <c r="N17" s="72"/>
      <c r="O17" s="67" t="s">
        <v>826</v>
      </c>
      <c r="P17" s="68"/>
      <c r="Q17" s="69">
        <v>76.0</v>
      </c>
      <c r="R17" s="72"/>
      <c r="S17" s="67" t="s">
        <v>1042</v>
      </c>
      <c r="T17" s="68"/>
      <c r="U17" s="69">
        <v>30.0</v>
      </c>
      <c r="V17" s="72"/>
    </row>
    <row r="18" ht="14.25" customHeight="1">
      <c r="B18" s="73"/>
      <c r="C18" s="74" t="s">
        <v>618</v>
      </c>
      <c r="D18" s="3"/>
      <c r="E18" s="75">
        <v>35.0</v>
      </c>
      <c r="F18" s="70"/>
      <c r="G18" s="74" t="s">
        <v>748</v>
      </c>
      <c r="H18" s="3"/>
      <c r="I18" s="75">
        <v>23.0</v>
      </c>
      <c r="J18" s="71"/>
      <c r="K18" s="74" t="s">
        <v>1043</v>
      </c>
      <c r="L18" s="3"/>
      <c r="M18" s="75">
        <v>21.0</v>
      </c>
      <c r="N18" s="72"/>
      <c r="O18" s="74" t="s">
        <v>888</v>
      </c>
      <c r="P18" s="3"/>
      <c r="Q18" s="75">
        <v>85.0</v>
      </c>
      <c r="R18" s="72"/>
      <c r="S18" s="74" t="s">
        <v>1001</v>
      </c>
      <c r="T18" s="3"/>
      <c r="U18" s="75">
        <v>30.0</v>
      </c>
      <c r="V18" s="72"/>
    </row>
    <row r="19" ht="14.25" customHeight="1">
      <c r="B19" s="73"/>
      <c r="C19" s="74" t="s">
        <v>1044</v>
      </c>
      <c r="D19" s="3"/>
      <c r="E19" s="75">
        <v>20.0</v>
      </c>
      <c r="F19" s="70"/>
      <c r="G19" s="74" t="s">
        <v>829</v>
      </c>
      <c r="H19" s="3"/>
      <c r="I19" s="75">
        <v>21.0</v>
      </c>
      <c r="J19" s="71"/>
      <c r="K19" s="74" t="s">
        <v>1045</v>
      </c>
      <c r="L19" s="3"/>
      <c r="M19" s="75">
        <v>33.0</v>
      </c>
      <c r="N19" s="72"/>
      <c r="O19" s="74" t="s">
        <v>1046</v>
      </c>
      <c r="P19" s="3"/>
      <c r="Q19" s="75">
        <v>26.0</v>
      </c>
      <c r="R19" s="72"/>
      <c r="S19" s="74" t="s">
        <v>636</v>
      </c>
      <c r="T19" s="3"/>
      <c r="U19" s="75">
        <v>22.0</v>
      </c>
      <c r="V19" s="72"/>
    </row>
    <row r="20" ht="14.25" customHeight="1">
      <c r="B20" s="76" t="s">
        <v>95</v>
      </c>
      <c r="C20" s="74" t="s">
        <v>1047</v>
      </c>
      <c r="D20" s="3"/>
      <c r="E20" s="75">
        <v>13.0</v>
      </c>
      <c r="F20" s="70"/>
      <c r="G20" s="74" t="s">
        <v>1048</v>
      </c>
      <c r="H20" s="3"/>
      <c r="I20" s="75">
        <v>16.0</v>
      </c>
      <c r="J20" s="71"/>
      <c r="K20" s="74" t="s">
        <v>743</v>
      </c>
      <c r="L20" s="3"/>
      <c r="M20" s="75">
        <v>3.0</v>
      </c>
      <c r="N20" s="72"/>
      <c r="O20" s="74" t="s">
        <v>944</v>
      </c>
      <c r="P20" s="3"/>
      <c r="Q20" s="75">
        <v>19.0</v>
      </c>
      <c r="R20" s="72"/>
      <c r="S20" s="74" t="s">
        <v>1049</v>
      </c>
      <c r="T20" s="3"/>
      <c r="U20" s="75">
        <v>5.0</v>
      </c>
      <c r="V20" s="72"/>
    </row>
    <row r="21" ht="14.25" customHeight="1">
      <c r="B21" s="73"/>
      <c r="C21" s="74" t="s">
        <v>740</v>
      </c>
      <c r="D21" s="3"/>
      <c r="E21" s="75">
        <v>12.0</v>
      </c>
      <c r="F21" s="70"/>
      <c r="G21" s="74" t="s">
        <v>1005</v>
      </c>
      <c r="H21" s="3"/>
      <c r="I21" s="75">
        <v>7.0</v>
      </c>
      <c r="J21" s="71"/>
      <c r="K21" s="74" t="s">
        <v>1050</v>
      </c>
      <c r="L21" s="3"/>
      <c r="M21" s="75">
        <v>4.0</v>
      </c>
      <c r="N21" s="72"/>
      <c r="O21" s="74" t="s">
        <v>1051</v>
      </c>
      <c r="P21" s="3"/>
      <c r="Q21" s="75">
        <v>3.0</v>
      </c>
      <c r="R21" s="72"/>
      <c r="S21" s="74" t="s">
        <v>1002</v>
      </c>
      <c r="T21" s="3"/>
      <c r="U21" s="75">
        <v>2.0</v>
      </c>
      <c r="V21" s="72"/>
    </row>
    <row r="22" ht="14.25" customHeight="1">
      <c r="B22" s="73"/>
      <c r="C22" s="74" t="s">
        <v>1052</v>
      </c>
      <c r="D22" s="3"/>
      <c r="E22" s="75">
        <v>1.0</v>
      </c>
      <c r="F22" s="70"/>
      <c r="G22" s="74" t="s">
        <v>1053</v>
      </c>
      <c r="H22" s="3"/>
      <c r="I22" s="75">
        <v>1.0</v>
      </c>
      <c r="J22" s="71"/>
      <c r="K22" s="74" t="s">
        <v>1054</v>
      </c>
      <c r="L22" s="3"/>
      <c r="M22" s="75">
        <v>1.0</v>
      </c>
      <c r="N22" s="72"/>
      <c r="O22" s="74" t="s">
        <v>1055</v>
      </c>
      <c r="P22" s="3"/>
      <c r="Q22" s="75">
        <v>2.0</v>
      </c>
      <c r="R22" s="72"/>
      <c r="S22" s="74" t="s">
        <v>1000</v>
      </c>
      <c r="T22" s="3"/>
      <c r="U22" s="75">
        <v>1.0</v>
      </c>
      <c r="V22" s="72"/>
    </row>
    <row r="23" ht="14.25" customHeight="1">
      <c r="B23" s="73"/>
      <c r="C23" s="74" t="s">
        <v>897</v>
      </c>
      <c r="D23" s="3"/>
      <c r="E23" s="75">
        <v>1.0</v>
      </c>
      <c r="F23" s="70"/>
      <c r="G23" s="74" t="s">
        <v>630</v>
      </c>
      <c r="H23" s="3"/>
      <c r="I23" s="75">
        <v>1.0</v>
      </c>
      <c r="J23" s="71"/>
      <c r="K23" s="74" t="s">
        <v>597</v>
      </c>
      <c r="L23" s="3"/>
      <c r="M23" s="75">
        <v>6.0</v>
      </c>
      <c r="N23" s="72"/>
      <c r="O23" s="74" t="s">
        <v>1056</v>
      </c>
      <c r="P23" s="3"/>
      <c r="Q23" s="75">
        <v>1.0</v>
      </c>
      <c r="R23" s="72"/>
      <c r="S23" s="74" t="s">
        <v>754</v>
      </c>
      <c r="T23" s="3"/>
      <c r="U23" s="75">
        <v>1.0</v>
      </c>
      <c r="V23" s="72"/>
    </row>
    <row r="24" ht="14.25" customHeight="1">
      <c r="B24" s="77"/>
      <c r="C24" s="78" t="s">
        <v>613</v>
      </c>
      <c r="D24" s="61"/>
      <c r="E24" s="79">
        <v>1.0</v>
      </c>
      <c r="F24" s="80">
        <f>SUM(E17:E24)</f>
        <v>119</v>
      </c>
      <c r="G24" s="78" t="s">
        <v>1057</v>
      </c>
      <c r="H24" s="61"/>
      <c r="I24" s="79">
        <v>1.0</v>
      </c>
      <c r="J24" s="81">
        <f>SUM(I17:I24)</f>
        <v>140</v>
      </c>
      <c r="K24" s="78" t="s">
        <v>941</v>
      </c>
      <c r="L24" s="61"/>
      <c r="M24" s="79">
        <v>7.0</v>
      </c>
      <c r="N24" s="82">
        <f>SUM(M17:M24)</f>
        <v>155</v>
      </c>
      <c r="O24" s="78" t="s">
        <v>945</v>
      </c>
      <c r="P24" s="61"/>
      <c r="Q24" s="79">
        <v>3.0</v>
      </c>
      <c r="R24" s="82">
        <f>SUM(Q17:Q24)</f>
        <v>215</v>
      </c>
      <c r="S24" s="78" t="s">
        <v>1058</v>
      </c>
      <c r="T24" s="61"/>
      <c r="U24" s="79">
        <v>1.0</v>
      </c>
      <c r="V24" s="82">
        <f>SUM(U17:U24)</f>
        <v>92</v>
      </c>
    </row>
    <row r="25" ht="14.25" customHeight="1">
      <c r="B25" s="83"/>
      <c r="C25" s="84" t="s">
        <v>962</v>
      </c>
      <c r="D25" s="68"/>
      <c r="E25" s="85">
        <v>160.0</v>
      </c>
      <c r="F25" s="86"/>
      <c r="G25" s="84" t="s">
        <v>653</v>
      </c>
      <c r="H25" s="68"/>
      <c r="I25" s="85">
        <v>108.0</v>
      </c>
      <c r="J25" s="87"/>
      <c r="K25" s="84" t="s">
        <v>1017</v>
      </c>
      <c r="L25" s="68"/>
      <c r="M25" s="85">
        <v>71.0</v>
      </c>
      <c r="N25" s="88"/>
      <c r="O25" s="84" t="s">
        <v>854</v>
      </c>
      <c r="P25" s="68"/>
      <c r="Q25" s="85">
        <v>101.0</v>
      </c>
      <c r="R25" s="88"/>
      <c r="S25" s="84" t="s">
        <v>960</v>
      </c>
      <c r="T25" s="68"/>
      <c r="U25" s="85">
        <v>116.0</v>
      </c>
      <c r="V25" s="88"/>
    </row>
    <row r="26" ht="14.25" customHeight="1">
      <c r="B26" s="89"/>
      <c r="C26" s="90" t="s">
        <v>651</v>
      </c>
      <c r="D26" s="3"/>
      <c r="E26" s="91">
        <v>15.0</v>
      </c>
      <c r="F26" s="86"/>
      <c r="G26" s="90" t="s">
        <v>640</v>
      </c>
      <c r="H26" s="3"/>
      <c r="I26" s="91">
        <v>51.0</v>
      </c>
      <c r="J26" s="87"/>
      <c r="K26" s="90" t="s">
        <v>958</v>
      </c>
      <c r="L26" s="3"/>
      <c r="M26" s="91">
        <v>135.0</v>
      </c>
      <c r="N26" s="88"/>
      <c r="O26" s="90" t="s">
        <v>784</v>
      </c>
      <c r="P26" s="3"/>
      <c r="Q26" s="91">
        <v>11.0</v>
      </c>
      <c r="R26" s="88"/>
      <c r="S26" s="90" t="s">
        <v>1059</v>
      </c>
      <c r="T26" s="3"/>
      <c r="U26" s="91">
        <v>130.0</v>
      </c>
      <c r="V26" s="88"/>
    </row>
    <row r="27" ht="14.25" customHeight="1">
      <c r="B27" s="92" t="s">
        <v>131</v>
      </c>
      <c r="C27" s="90" t="s">
        <v>769</v>
      </c>
      <c r="D27" s="3"/>
      <c r="E27" s="91">
        <v>40.0</v>
      </c>
      <c r="F27" s="86"/>
      <c r="G27" s="90" t="s">
        <v>910</v>
      </c>
      <c r="H27" s="3"/>
      <c r="I27" s="91">
        <v>15.0</v>
      </c>
      <c r="J27" s="87"/>
      <c r="K27" s="90" t="s">
        <v>728</v>
      </c>
      <c r="L27" s="3"/>
      <c r="M27" s="91">
        <v>30.0</v>
      </c>
      <c r="N27" s="88"/>
      <c r="O27" s="90" t="s">
        <v>1060</v>
      </c>
      <c r="P27" s="3"/>
      <c r="Q27" s="91">
        <v>16.0</v>
      </c>
      <c r="R27" s="88"/>
      <c r="S27" s="90" t="s">
        <v>904</v>
      </c>
      <c r="T27" s="3"/>
      <c r="U27" s="91">
        <v>30.0</v>
      </c>
      <c r="V27" s="88"/>
    </row>
    <row r="28" ht="14.25" customHeight="1">
      <c r="B28" s="89"/>
      <c r="C28" s="90" t="s">
        <v>774</v>
      </c>
      <c r="D28" s="3"/>
      <c r="E28" s="91">
        <v>20.0</v>
      </c>
      <c r="F28" s="86"/>
      <c r="G28" s="90" t="s">
        <v>1061</v>
      </c>
      <c r="H28" s="3"/>
      <c r="I28" s="91">
        <v>22.0</v>
      </c>
      <c r="J28" s="87"/>
      <c r="K28" s="90" t="s">
        <v>767</v>
      </c>
      <c r="L28" s="3"/>
      <c r="M28" s="91">
        <v>31.0</v>
      </c>
      <c r="N28" s="88"/>
      <c r="O28" s="90" t="s">
        <v>912</v>
      </c>
      <c r="P28" s="3"/>
      <c r="Q28" s="91">
        <v>1.0</v>
      </c>
      <c r="R28" s="88"/>
      <c r="S28" s="90" t="s">
        <v>1062</v>
      </c>
      <c r="T28" s="3"/>
      <c r="U28" s="91">
        <v>3.0</v>
      </c>
      <c r="V28" s="88"/>
    </row>
    <row r="29" ht="14.25" customHeight="1">
      <c r="B29" s="89"/>
      <c r="C29" s="90" t="s">
        <v>1063</v>
      </c>
      <c r="D29" s="3"/>
      <c r="E29" s="91">
        <v>1.0</v>
      </c>
      <c r="F29" s="86"/>
      <c r="G29" s="90" t="s">
        <v>1064</v>
      </c>
      <c r="H29" s="3"/>
      <c r="I29" s="91">
        <v>12.0</v>
      </c>
      <c r="J29" s="87"/>
      <c r="K29" s="90" t="s">
        <v>782</v>
      </c>
      <c r="L29" s="3"/>
      <c r="M29" s="91">
        <v>4.0</v>
      </c>
      <c r="N29" s="88"/>
      <c r="O29" s="90" t="s">
        <v>663</v>
      </c>
      <c r="P29" s="3"/>
      <c r="Q29" s="91">
        <v>4.0</v>
      </c>
      <c r="R29" s="88"/>
      <c r="S29" s="90" t="s">
        <v>658</v>
      </c>
      <c r="T29" s="3"/>
      <c r="U29" s="91">
        <v>6.0</v>
      </c>
      <c r="V29" s="88"/>
    </row>
    <row r="30" ht="14.25" customHeight="1">
      <c r="B30" s="93"/>
      <c r="C30" s="94" t="s">
        <v>1065</v>
      </c>
      <c r="D30" s="61"/>
      <c r="E30" s="95">
        <v>1.0</v>
      </c>
      <c r="F30" s="96">
        <f>SUM(E25:E30)</f>
        <v>237</v>
      </c>
      <c r="G30" s="94" t="s">
        <v>1016</v>
      </c>
      <c r="H30" s="61"/>
      <c r="I30" s="95">
        <v>1.0</v>
      </c>
      <c r="J30" s="97">
        <f>SUM(I25:I30)</f>
        <v>209</v>
      </c>
      <c r="K30" s="94" t="s">
        <v>1066</v>
      </c>
      <c r="L30" s="61"/>
      <c r="M30" s="95">
        <v>4.0</v>
      </c>
      <c r="N30" s="98">
        <f>SUM(M25:M30)</f>
        <v>275</v>
      </c>
      <c r="O30" s="94" t="s">
        <v>1067</v>
      </c>
      <c r="P30" s="61"/>
      <c r="Q30" s="95">
        <v>1.0</v>
      </c>
      <c r="R30" s="98">
        <f>SUM(Q25:Q30)</f>
        <v>134</v>
      </c>
      <c r="S30" s="94" t="s">
        <v>661</v>
      </c>
      <c r="T30" s="61"/>
      <c r="U30" s="95">
        <v>1.0</v>
      </c>
      <c r="V30" s="98">
        <f>SUM(U25:U30)</f>
        <v>286</v>
      </c>
    </row>
    <row r="31" ht="14.25" customHeight="1">
      <c r="C31" s="99" t="s">
        <v>152</v>
      </c>
      <c r="D31" s="100"/>
      <c r="E31" s="28">
        <f>SUM(E6:E30)</f>
        <v>498</v>
      </c>
      <c r="F31" s="101"/>
      <c r="G31" s="99" t="s">
        <v>152</v>
      </c>
      <c r="H31" s="100"/>
      <c r="I31" s="28">
        <f>SUM(I6:I30)</f>
        <v>497</v>
      </c>
      <c r="J31" s="101"/>
      <c r="K31" s="23" t="s">
        <v>152</v>
      </c>
      <c r="L31" s="22"/>
      <c r="M31" s="102">
        <f>SUM(M6:M30)</f>
        <v>487</v>
      </c>
      <c r="N31" s="101"/>
      <c r="O31" s="23" t="s">
        <v>152</v>
      </c>
      <c r="P31" s="22"/>
      <c r="Q31" s="102">
        <f>SUM(Q6:Q30)</f>
        <v>490</v>
      </c>
      <c r="R31" s="101"/>
      <c r="S31" s="23" t="s">
        <v>152</v>
      </c>
      <c r="T31" s="22"/>
      <c r="U31" s="102">
        <f>SUM(U6:U30)</f>
        <v>498</v>
      </c>
      <c r="V31" s="101"/>
    </row>
    <row r="32" ht="14.25" customHeight="1">
      <c r="C32" s="23" t="s">
        <v>153</v>
      </c>
      <c r="D32" s="22"/>
      <c r="E32" s="121">
        <f>500-E31</f>
        <v>2</v>
      </c>
      <c r="F32" s="103"/>
      <c r="G32" s="23" t="s">
        <v>153</v>
      </c>
      <c r="H32" s="22"/>
      <c r="I32" s="102">
        <f>500-I31</f>
        <v>3</v>
      </c>
      <c r="J32" s="103"/>
      <c r="K32" s="23" t="s">
        <v>153</v>
      </c>
      <c r="L32" s="22"/>
      <c r="M32" s="102">
        <f>500-M31</f>
        <v>13</v>
      </c>
      <c r="N32" s="103"/>
      <c r="O32" s="23" t="s">
        <v>153</v>
      </c>
      <c r="P32" s="22"/>
      <c r="Q32" s="102">
        <f>500-Q31</f>
        <v>10</v>
      </c>
      <c r="R32" s="103"/>
      <c r="S32" s="23" t="s">
        <v>153</v>
      </c>
      <c r="T32" s="22"/>
      <c r="U32" s="102">
        <f>500-U31</f>
        <v>2</v>
      </c>
      <c r="V32" s="103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C39" s="24" t="s">
        <v>1068</v>
      </c>
      <c r="D39" s="21"/>
      <c r="E39" s="21"/>
      <c r="F39" s="22"/>
      <c r="G39" s="24" t="s">
        <v>8</v>
      </c>
      <c r="H39" s="21"/>
      <c r="I39" s="21"/>
      <c r="J39" s="22"/>
      <c r="K39" s="24" t="s">
        <v>669</v>
      </c>
      <c r="L39" s="21"/>
      <c r="M39" s="21"/>
      <c r="N39" s="22"/>
      <c r="O39" s="24" t="s">
        <v>670</v>
      </c>
      <c r="P39" s="21"/>
      <c r="Q39" s="21"/>
      <c r="R39" s="22"/>
      <c r="S39" s="24" t="s">
        <v>971</v>
      </c>
      <c r="T39" s="21"/>
      <c r="U39" s="21"/>
      <c r="V39" s="22"/>
      <c r="W39" s="125" t="s">
        <v>1069</v>
      </c>
    </row>
    <row r="40" ht="14.25" customHeight="1">
      <c r="C40" s="29" t="s">
        <v>20</v>
      </c>
      <c r="D40" s="122"/>
      <c r="E40" s="102" t="s">
        <v>21</v>
      </c>
      <c r="F40" s="102" t="s">
        <v>22</v>
      </c>
      <c r="G40" s="29" t="s">
        <v>20</v>
      </c>
      <c r="H40" s="30"/>
      <c r="I40" s="31" t="s">
        <v>21</v>
      </c>
      <c r="J40" s="28" t="s">
        <v>22</v>
      </c>
      <c r="K40" s="29" t="s">
        <v>20</v>
      </c>
      <c r="L40" s="30"/>
      <c r="M40" s="31" t="s">
        <v>21</v>
      </c>
      <c r="N40" s="28" t="s">
        <v>22</v>
      </c>
      <c r="O40" s="29" t="s">
        <v>20</v>
      </c>
      <c r="P40" s="30"/>
      <c r="Q40" s="127" t="s">
        <v>21</v>
      </c>
      <c r="R40" s="28" t="s">
        <v>22</v>
      </c>
      <c r="S40" s="29" t="s">
        <v>20</v>
      </c>
      <c r="T40" s="30"/>
      <c r="U40" s="31" t="s">
        <v>21</v>
      </c>
      <c r="V40" s="28" t="s">
        <v>22</v>
      </c>
    </row>
    <row r="41" ht="14.25" customHeight="1">
      <c r="B41" s="104"/>
      <c r="C41" s="33" t="s">
        <v>972</v>
      </c>
      <c r="D41" s="34"/>
      <c r="E41" s="35">
        <v>40.0</v>
      </c>
      <c r="F41" s="124"/>
      <c r="G41" s="33" t="s">
        <v>862</v>
      </c>
      <c r="H41" s="34"/>
      <c r="I41" s="35">
        <v>51.0</v>
      </c>
      <c r="J41" s="38"/>
      <c r="K41" s="33" t="s">
        <v>676</v>
      </c>
      <c r="L41" s="34"/>
      <c r="M41" s="35">
        <v>15.0</v>
      </c>
      <c r="N41" s="38"/>
      <c r="O41" s="33" t="s">
        <v>544</v>
      </c>
      <c r="P41" s="34"/>
      <c r="Q41" s="35">
        <v>49.0</v>
      </c>
      <c r="R41" s="38"/>
      <c r="S41" s="33" t="s">
        <v>863</v>
      </c>
      <c r="T41" s="34"/>
      <c r="U41" s="35">
        <v>54.0</v>
      </c>
      <c r="V41" s="38"/>
    </row>
    <row r="42" ht="14.25" customHeight="1">
      <c r="B42" s="105" t="s">
        <v>28</v>
      </c>
      <c r="C42" s="33" t="s">
        <v>1070</v>
      </c>
      <c r="D42" s="34"/>
      <c r="E42" s="41">
        <v>17.0</v>
      </c>
      <c r="F42" s="38"/>
      <c r="G42" s="33" t="s">
        <v>804</v>
      </c>
      <c r="H42" s="34"/>
      <c r="I42" s="41">
        <v>1.0</v>
      </c>
      <c r="J42" s="38"/>
      <c r="K42" s="33" t="s">
        <v>678</v>
      </c>
      <c r="L42" s="34"/>
      <c r="M42" s="41">
        <v>16.0</v>
      </c>
      <c r="N42" s="38"/>
      <c r="O42" s="33" t="s">
        <v>919</v>
      </c>
      <c r="P42" s="34"/>
      <c r="Q42" s="41">
        <v>7.0</v>
      </c>
      <c r="R42" s="38"/>
      <c r="S42" s="33" t="s">
        <v>1071</v>
      </c>
      <c r="T42" s="34"/>
      <c r="U42" s="41">
        <v>4.0</v>
      </c>
      <c r="V42" s="38"/>
    </row>
    <row r="43" ht="14.25" customHeight="1">
      <c r="B43" s="106"/>
      <c r="C43" s="119" t="s">
        <v>1072</v>
      </c>
      <c r="D43" s="120"/>
      <c r="E43" s="45">
        <v>1.0</v>
      </c>
      <c r="F43" s="48">
        <f>SUM(E41:E43)</f>
        <v>58</v>
      </c>
      <c r="G43" s="119" t="s">
        <v>1073</v>
      </c>
      <c r="H43" s="120"/>
      <c r="I43" s="45">
        <v>1.0</v>
      </c>
      <c r="J43" s="48">
        <f>SUM(I41:I43)</f>
        <v>53</v>
      </c>
      <c r="K43" s="119" t="s">
        <v>923</v>
      </c>
      <c r="L43" s="120"/>
      <c r="M43" s="45">
        <v>1.0</v>
      </c>
      <c r="N43" s="48">
        <f>SUM(M41:M43)</f>
        <v>32</v>
      </c>
      <c r="O43" s="119" t="s">
        <v>555</v>
      </c>
      <c r="P43" s="120"/>
      <c r="Q43" s="45">
        <v>1.0</v>
      </c>
      <c r="R43" s="48">
        <f>SUM(Q41:Q43)</f>
        <v>57</v>
      </c>
      <c r="S43" s="119" t="s">
        <v>548</v>
      </c>
      <c r="T43" s="120"/>
      <c r="U43" s="45">
        <v>1.0</v>
      </c>
      <c r="V43" s="48">
        <f>SUM(U41:U43)</f>
        <v>59</v>
      </c>
    </row>
    <row r="44" ht="14.25" customHeight="1">
      <c r="B44" s="107"/>
      <c r="C44" s="50" t="s">
        <v>558</v>
      </c>
      <c r="D44" s="34"/>
      <c r="E44" s="51">
        <v>38.0</v>
      </c>
      <c r="F44" s="54"/>
      <c r="G44" s="50" t="s">
        <v>582</v>
      </c>
      <c r="H44" s="34"/>
      <c r="I44" s="51">
        <v>47.0</v>
      </c>
      <c r="J44" s="54"/>
      <c r="K44" s="50" t="s">
        <v>1074</v>
      </c>
      <c r="L44" s="34"/>
      <c r="M44" s="51">
        <v>17.0</v>
      </c>
      <c r="N44" s="54"/>
      <c r="O44" s="50" t="s">
        <v>588</v>
      </c>
      <c r="P44" s="34"/>
      <c r="Q44" s="51">
        <v>18.0</v>
      </c>
      <c r="R44" s="54"/>
      <c r="S44" s="50" t="s">
        <v>1075</v>
      </c>
      <c r="T44" s="34"/>
      <c r="U44" s="51">
        <v>27.0</v>
      </c>
      <c r="V44" s="54"/>
    </row>
    <row r="45" ht="14.25" customHeight="1">
      <c r="B45" s="108"/>
      <c r="C45" s="56" t="s">
        <v>979</v>
      </c>
      <c r="D45" s="3"/>
      <c r="E45" s="57">
        <v>30.0</v>
      </c>
      <c r="F45" s="54"/>
      <c r="G45" s="56" t="s">
        <v>690</v>
      </c>
      <c r="H45" s="3"/>
      <c r="I45" s="57">
        <v>44.0</v>
      </c>
      <c r="J45" s="54"/>
      <c r="K45" s="56" t="s">
        <v>1076</v>
      </c>
      <c r="L45" s="3"/>
      <c r="M45" s="57">
        <v>6.0</v>
      </c>
      <c r="N45" s="54"/>
      <c r="O45" s="56" t="s">
        <v>937</v>
      </c>
      <c r="P45" s="3"/>
      <c r="Q45" s="57">
        <v>20.0</v>
      </c>
      <c r="R45" s="54"/>
      <c r="S45" s="56" t="s">
        <v>702</v>
      </c>
      <c r="T45" s="3"/>
      <c r="U45" s="57">
        <v>4.0</v>
      </c>
      <c r="V45" s="54"/>
    </row>
    <row r="46" ht="14.25" customHeight="1">
      <c r="B46" s="108"/>
      <c r="C46" s="56" t="s">
        <v>694</v>
      </c>
      <c r="D46" s="3"/>
      <c r="E46" s="57">
        <v>1.0</v>
      </c>
      <c r="F46" s="54"/>
      <c r="G46" s="56" t="s">
        <v>542</v>
      </c>
      <c r="H46" s="3"/>
      <c r="I46" s="57">
        <v>35.0</v>
      </c>
      <c r="J46" s="54"/>
      <c r="K46" s="56" t="s">
        <v>723</v>
      </c>
      <c r="L46" s="3"/>
      <c r="M46" s="57">
        <v>9.0</v>
      </c>
      <c r="N46" s="54"/>
      <c r="O46" s="56" t="s">
        <v>925</v>
      </c>
      <c r="P46" s="3"/>
      <c r="Q46" s="57">
        <v>11.0</v>
      </c>
      <c r="R46" s="54"/>
      <c r="S46" s="56" t="s">
        <v>877</v>
      </c>
      <c r="T46" s="3"/>
      <c r="U46" s="57">
        <v>17.0</v>
      </c>
      <c r="V46" s="54"/>
    </row>
    <row r="47" ht="14.25" customHeight="1">
      <c r="B47" s="109" t="s">
        <v>54</v>
      </c>
      <c r="C47" s="56" t="s">
        <v>1077</v>
      </c>
      <c r="D47" s="3"/>
      <c r="E47" s="57">
        <v>1.0</v>
      </c>
      <c r="F47" s="54"/>
      <c r="G47" s="56" t="s">
        <v>1078</v>
      </c>
      <c r="H47" s="3"/>
      <c r="I47" s="57">
        <v>4.0</v>
      </c>
      <c r="J47" s="54"/>
      <c r="K47" s="56" t="s">
        <v>568</v>
      </c>
      <c r="L47" s="3"/>
      <c r="M47" s="57">
        <v>10.0</v>
      </c>
      <c r="N47" s="54"/>
      <c r="O47" s="56" t="s">
        <v>586</v>
      </c>
      <c r="P47" s="3"/>
      <c r="Q47" s="57">
        <v>15.0</v>
      </c>
      <c r="R47" s="54"/>
      <c r="S47" s="56" t="s">
        <v>703</v>
      </c>
      <c r="T47" s="3"/>
      <c r="U47" s="57">
        <v>15.0</v>
      </c>
      <c r="V47" s="54"/>
    </row>
    <row r="48" ht="14.25" customHeight="1">
      <c r="B48" s="108"/>
      <c r="C48" s="56" t="s">
        <v>1079</v>
      </c>
      <c r="D48" s="3"/>
      <c r="E48" s="57">
        <v>8.0</v>
      </c>
      <c r="F48" s="54"/>
      <c r="G48" s="56" t="s">
        <v>977</v>
      </c>
      <c r="H48" s="3"/>
      <c r="I48" s="57">
        <v>1.0</v>
      </c>
      <c r="J48" s="54"/>
      <c r="K48" s="56" t="s">
        <v>565</v>
      </c>
      <c r="L48" s="3"/>
      <c r="M48" s="57">
        <v>9.0</v>
      </c>
      <c r="N48" s="54"/>
      <c r="O48" s="56" t="s">
        <v>717</v>
      </c>
      <c r="P48" s="3"/>
      <c r="Q48" s="57">
        <v>9.0</v>
      </c>
      <c r="R48" s="54"/>
      <c r="S48" s="56" t="s">
        <v>868</v>
      </c>
      <c r="T48" s="3"/>
      <c r="U48" s="57">
        <v>9.0</v>
      </c>
      <c r="V48" s="54"/>
    </row>
    <row r="49" ht="14.25" customHeight="1">
      <c r="B49" s="108"/>
      <c r="C49" s="56" t="s">
        <v>1080</v>
      </c>
      <c r="D49" s="3"/>
      <c r="E49" s="57">
        <v>6.0</v>
      </c>
      <c r="F49" s="54"/>
      <c r="G49" s="56" t="s">
        <v>887</v>
      </c>
      <c r="H49" s="3"/>
      <c r="I49" s="57">
        <v>1.0</v>
      </c>
      <c r="J49" s="54"/>
      <c r="K49" s="56" t="s">
        <v>883</v>
      </c>
      <c r="L49" s="3"/>
      <c r="M49" s="57">
        <v>10.0</v>
      </c>
      <c r="N49" s="54"/>
      <c r="O49" s="56" t="s">
        <v>704</v>
      </c>
      <c r="P49" s="3"/>
      <c r="Q49" s="57">
        <v>33.0</v>
      </c>
      <c r="R49" s="54"/>
      <c r="S49" s="56" t="s">
        <v>1081</v>
      </c>
      <c r="T49" s="3"/>
      <c r="U49" s="57">
        <v>1.0</v>
      </c>
      <c r="V49" s="54"/>
    </row>
    <row r="50" ht="14.25" customHeight="1">
      <c r="B50" s="108"/>
      <c r="C50" s="56" t="s">
        <v>1082</v>
      </c>
      <c r="D50" s="3"/>
      <c r="E50" s="57">
        <v>1.0</v>
      </c>
      <c r="F50" s="54"/>
      <c r="G50" s="56" t="s">
        <v>992</v>
      </c>
      <c r="H50" s="3"/>
      <c r="I50" s="57">
        <v>1.0</v>
      </c>
      <c r="J50" s="54"/>
      <c r="K50" s="56" t="s">
        <v>873</v>
      </c>
      <c r="L50" s="3"/>
      <c r="M50" s="57">
        <v>3.0</v>
      </c>
      <c r="N50" s="54"/>
      <c r="O50" s="56" t="s">
        <v>1083</v>
      </c>
      <c r="P50" s="3"/>
      <c r="Q50" s="57">
        <v>1.0</v>
      </c>
      <c r="R50" s="54"/>
      <c r="S50" s="56" t="s">
        <v>1084</v>
      </c>
      <c r="T50" s="3"/>
      <c r="U50" s="57">
        <v>6.0</v>
      </c>
      <c r="V50" s="54"/>
    </row>
    <row r="51" ht="14.25" customHeight="1">
      <c r="B51" s="110"/>
      <c r="C51" s="60" t="s">
        <v>691</v>
      </c>
      <c r="D51" s="61"/>
      <c r="E51" s="62">
        <v>1.0</v>
      </c>
      <c r="F51" s="65">
        <f>SUM(E44:E51)</f>
        <v>86</v>
      </c>
      <c r="G51" s="60" t="s">
        <v>882</v>
      </c>
      <c r="H51" s="61"/>
      <c r="I51" s="62">
        <v>1.0</v>
      </c>
      <c r="J51" s="65">
        <f>SUM(I44:I51)</f>
        <v>134</v>
      </c>
      <c r="K51" s="60" t="s">
        <v>936</v>
      </c>
      <c r="L51" s="61"/>
      <c r="M51" s="62">
        <v>3.0</v>
      </c>
      <c r="N51" s="65">
        <f>SUM(M44:M51)</f>
        <v>67</v>
      </c>
      <c r="O51" s="60" t="s">
        <v>1085</v>
      </c>
      <c r="P51" s="61"/>
      <c r="Q51" s="62">
        <v>1.0</v>
      </c>
      <c r="R51" s="65">
        <f>SUM(Q44:Q51)</f>
        <v>108</v>
      </c>
      <c r="S51" s="60" t="s">
        <v>722</v>
      </c>
      <c r="T51" s="61"/>
      <c r="U51" s="62">
        <v>1.0</v>
      </c>
      <c r="V51" s="65">
        <f>SUM(U44:U51)</f>
        <v>80</v>
      </c>
      <c r="W51" s="125" t="s">
        <v>464</v>
      </c>
    </row>
    <row r="52" ht="14.25" customHeight="1">
      <c r="B52" s="111"/>
      <c r="C52" s="67" t="s">
        <v>1086</v>
      </c>
      <c r="D52" s="68"/>
      <c r="E52" s="69">
        <v>1.0</v>
      </c>
      <c r="F52" s="72"/>
      <c r="G52" s="67" t="s">
        <v>733</v>
      </c>
      <c r="H52" s="68"/>
      <c r="I52" s="69">
        <v>36.0</v>
      </c>
      <c r="J52" s="72"/>
      <c r="K52" s="67" t="s">
        <v>1087</v>
      </c>
      <c r="L52" s="68"/>
      <c r="M52" s="69">
        <v>81.0</v>
      </c>
      <c r="N52" s="72"/>
      <c r="O52" s="67" t="s">
        <v>735</v>
      </c>
      <c r="P52" s="68"/>
      <c r="Q52" s="69">
        <v>38.0</v>
      </c>
      <c r="R52" s="72"/>
      <c r="S52" s="67" t="s">
        <v>955</v>
      </c>
      <c r="T52" s="68"/>
      <c r="U52" s="69">
        <v>80.0</v>
      </c>
      <c r="V52" s="72"/>
    </row>
    <row r="53" ht="14.25" customHeight="1">
      <c r="B53" s="112"/>
      <c r="C53" s="74" t="s">
        <v>1088</v>
      </c>
      <c r="D53" s="3"/>
      <c r="E53" s="75">
        <v>20.0</v>
      </c>
      <c r="F53" s="72"/>
      <c r="G53" s="74" t="s">
        <v>999</v>
      </c>
      <c r="H53" s="3"/>
      <c r="I53" s="75">
        <v>90.0</v>
      </c>
      <c r="J53" s="72"/>
      <c r="K53" s="74" t="s">
        <v>834</v>
      </c>
      <c r="L53" s="3"/>
      <c r="M53" s="75">
        <v>7.0</v>
      </c>
      <c r="N53" s="72"/>
      <c r="O53" s="74" t="s">
        <v>763</v>
      </c>
      <c r="P53" s="3"/>
      <c r="Q53" s="75">
        <v>30.0</v>
      </c>
      <c r="R53" s="72"/>
      <c r="S53" s="74" t="s">
        <v>1089</v>
      </c>
      <c r="T53" s="3"/>
      <c r="U53" s="75">
        <v>23.0</v>
      </c>
      <c r="V53" s="72"/>
    </row>
    <row r="54" ht="14.25" customHeight="1">
      <c r="B54" s="112"/>
      <c r="C54" s="74" t="s">
        <v>1090</v>
      </c>
      <c r="D54" s="3"/>
      <c r="E54" s="75">
        <v>31.0</v>
      </c>
      <c r="F54" s="72"/>
      <c r="G54" s="74" t="s">
        <v>1091</v>
      </c>
      <c r="H54" s="3"/>
      <c r="I54" s="75">
        <v>25.0</v>
      </c>
      <c r="J54" s="72"/>
      <c r="K54" s="74" t="s">
        <v>942</v>
      </c>
      <c r="L54" s="3"/>
      <c r="M54" s="75">
        <v>10.0</v>
      </c>
      <c r="N54" s="72"/>
      <c r="O54" s="74" t="s">
        <v>858</v>
      </c>
      <c r="P54" s="3"/>
      <c r="Q54" s="75">
        <v>29.0</v>
      </c>
      <c r="R54" s="72"/>
      <c r="S54" s="74" t="s">
        <v>747</v>
      </c>
      <c r="T54" s="3"/>
      <c r="U54" s="75">
        <v>5.0</v>
      </c>
      <c r="V54" s="72"/>
    </row>
    <row r="55" ht="14.25" customHeight="1">
      <c r="B55" s="113" t="s">
        <v>95</v>
      </c>
      <c r="C55" s="74" t="s">
        <v>995</v>
      </c>
      <c r="D55" s="3"/>
      <c r="E55" s="75">
        <v>5.0</v>
      </c>
      <c r="F55" s="72"/>
      <c r="G55" s="74" t="s">
        <v>1092</v>
      </c>
      <c r="H55" s="3"/>
      <c r="I55" s="75">
        <v>2.0</v>
      </c>
      <c r="J55" s="72"/>
      <c r="K55" s="74" t="s">
        <v>732</v>
      </c>
      <c r="L55" s="3"/>
      <c r="M55" s="75">
        <v>23.0</v>
      </c>
      <c r="N55" s="72"/>
      <c r="O55" s="74" t="s">
        <v>607</v>
      </c>
      <c r="P55" s="3"/>
      <c r="Q55" s="75">
        <v>7.0</v>
      </c>
      <c r="R55" s="72"/>
      <c r="S55" s="74" t="s">
        <v>1093</v>
      </c>
      <c r="T55" s="3"/>
      <c r="U55" s="75">
        <v>15.0</v>
      </c>
      <c r="V55" s="72"/>
    </row>
    <row r="56" ht="14.25" customHeight="1">
      <c r="B56" s="112"/>
      <c r="C56" s="74" t="s">
        <v>1094</v>
      </c>
      <c r="D56" s="3"/>
      <c r="E56" s="75">
        <v>9.0</v>
      </c>
      <c r="F56" s="72"/>
      <c r="G56" s="74" t="s">
        <v>1095</v>
      </c>
      <c r="H56" s="3"/>
      <c r="I56" s="75">
        <v>1.0</v>
      </c>
      <c r="J56" s="72"/>
      <c r="K56" s="74" t="s">
        <v>839</v>
      </c>
      <c r="L56" s="3"/>
      <c r="M56" s="75">
        <v>12.0</v>
      </c>
      <c r="N56" s="72"/>
      <c r="O56" s="74" t="s">
        <v>1096</v>
      </c>
      <c r="P56" s="3"/>
      <c r="Q56" s="75">
        <v>9.0</v>
      </c>
      <c r="R56" s="72"/>
      <c r="S56" s="74" t="s">
        <v>1009</v>
      </c>
      <c r="T56" s="3"/>
      <c r="U56" s="75">
        <v>5.0</v>
      </c>
      <c r="V56" s="72"/>
    </row>
    <row r="57" ht="14.25" customHeight="1">
      <c r="B57" s="112"/>
      <c r="C57" s="74" t="s">
        <v>1097</v>
      </c>
      <c r="D57" s="3"/>
      <c r="E57" s="75">
        <v>1.0</v>
      </c>
      <c r="F57" s="72"/>
      <c r="G57" s="74" t="s">
        <v>1098</v>
      </c>
      <c r="H57" s="3"/>
      <c r="I57" s="75">
        <v>3.0</v>
      </c>
      <c r="J57" s="72"/>
      <c r="K57" s="74" t="s">
        <v>727</v>
      </c>
      <c r="L57" s="3"/>
      <c r="M57" s="75">
        <v>7.0</v>
      </c>
      <c r="N57" s="72"/>
      <c r="O57" s="74" t="s">
        <v>1099</v>
      </c>
      <c r="P57" s="3"/>
      <c r="Q57" s="75">
        <v>7.0</v>
      </c>
      <c r="R57" s="72"/>
      <c r="S57" s="74" t="s">
        <v>843</v>
      </c>
      <c r="T57" s="3"/>
      <c r="U57" s="75">
        <v>1.0</v>
      </c>
      <c r="V57" s="72"/>
    </row>
    <row r="58" ht="14.25" customHeight="1">
      <c r="B58" s="112"/>
      <c r="C58" s="74" t="s">
        <v>1100</v>
      </c>
      <c r="D58" s="3"/>
      <c r="E58" s="75">
        <v>1.0</v>
      </c>
      <c r="F58" s="72"/>
      <c r="G58" s="74" t="s">
        <v>840</v>
      </c>
      <c r="H58" s="3"/>
      <c r="I58" s="75">
        <v>3.0</v>
      </c>
      <c r="J58" s="72"/>
      <c r="K58" s="74" t="s">
        <v>753</v>
      </c>
      <c r="L58" s="3"/>
      <c r="M58" s="75">
        <v>1.0</v>
      </c>
      <c r="N58" s="72"/>
      <c r="O58" s="74" t="s">
        <v>1101</v>
      </c>
      <c r="P58" s="3"/>
      <c r="Q58" s="75">
        <v>1.0</v>
      </c>
      <c r="R58" s="72"/>
      <c r="S58" s="74" t="s">
        <v>614</v>
      </c>
      <c r="T58" s="3"/>
      <c r="U58" s="75">
        <v>1.0</v>
      </c>
      <c r="V58" s="72"/>
    </row>
    <row r="59" ht="14.25" customHeight="1">
      <c r="B59" s="114"/>
      <c r="C59" s="78" t="s">
        <v>1102</v>
      </c>
      <c r="D59" s="61"/>
      <c r="E59" s="79">
        <v>6.0</v>
      </c>
      <c r="F59" s="82">
        <f>SUM(E52:E59)</f>
        <v>74</v>
      </c>
      <c r="G59" s="78" t="s">
        <v>624</v>
      </c>
      <c r="H59" s="61"/>
      <c r="I59" s="79">
        <v>4.0</v>
      </c>
      <c r="J59" s="82">
        <f>SUM(I52:I59)</f>
        <v>164</v>
      </c>
      <c r="K59" s="78" t="s">
        <v>1103</v>
      </c>
      <c r="L59" s="61"/>
      <c r="M59" s="79">
        <v>1.0</v>
      </c>
      <c r="N59" s="82">
        <f>SUM(M52:M59)</f>
        <v>142</v>
      </c>
      <c r="O59" s="78" t="s">
        <v>1104</v>
      </c>
      <c r="P59" s="61"/>
      <c r="Q59" s="79">
        <v>1.0</v>
      </c>
      <c r="R59" s="82">
        <f>SUM(Q52:Q59)</f>
        <v>122</v>
      </c>
      <c r="S59" s="78" t="s">
        <v>943</v>
      </c>
      <c r="T59" s="61"/>
      <c r="U59" s="79">
        <v>1.0</v>
      </c>
      <c r="V59" s="82">
        <f>SUM(U52:U59)</f>
        <v>131</v>
      </c>
    </row>
    <row r="60" ht="14.25" customHeight="1">
      <c r="B60" s="115"/>
      <c r="C60" s="84" t="s">
        <v>775</v>
      </c>
      <c r="D60" s="68"/>
      <c r="E60" s="85">
        <v>180.0</v>
      </c>
      <c r="F60" s="88"/>
      <c r="G60" s="84" t="s">
        <v>850</v>
      </c>
      <c r="H60" s="68"/>
      <c r="I60" s="85">
        <v>71.0</v>
      </c>
      <c r="J60" s="88"/>
      <c r="K60" s="84" t="s">
        <v>905</v>
      </c>
      <c r="L60" s="68"/>
      <c r="M60" s="85">
        <v>145.0</v>
      </c>
      <c r="N60" s="88"/>
      <c r="O60" s="84" t="s">
        <v>768</v>
      </c>
      <c r="P60" s="68"/>
      <c r="Q60" s="85">
        <v>74.0</v>
      </c>
      <c r="R60" s="88"/>
      <c r="S60" s="84" t="s">
        <v>1105</v>
      </c>
      <c r="T60" s="68"/>
      <c r="U60" s="85">
        <v>149.0</v>
      </c>
      <c r="V60" s="88"/>
    </row>
    <row r="61" ht="14.25" customHeight="1">
      <c r="B61" s="116"/>
      <c r="C61" s="90" t="s">
        <v>1106</v>
      </c>
      <c r="D61" s="3"/>
      <c r="E61" s="91">
        <v>80.0</v>
      </c>
      <c r="F61" s="88"/>
      <c r="G61" s="90" t="s">
        <v>650</v>
      </c>
      <c r="H61" s="3"/>
      <c r="I61" s="91">
        <v>30.0</v>
      </c>
      <c r="J61" s="88"/>
      <c r="K61" s="90" t="s">
        <v>787</v>
      </c>
      <c r="L61" s="3"/>
      <c r="M61" s="91">
        <v>43.0</v>
      </c>
      <c r="N61" s="88"/>
      <c r="O61" s="90" t="s">
        <v>1107</v>
      </c>
      <c r="P61" s="3"/>
      <c r="Q61" s="91">
        <v>28.0</v>
      </c>
      <c r="R61" s="88"/>
      <c r="S61" s="90" t="s">
        <v>964</v>
      </c>
      <c r="T61" s="3"/>
      <c r="U61" s="91">
        <v>19.0</v>
      </c>
      <c r="V61" s="88"/>
    </row>
    <row r="62" ht="14.25" customHeight="1">
      <c r="B62" s="117" t="s">
        <v>131</v>
      </c>
      <c r="C62" s="90" t="s">
        <v>1108</v>
      </c>
      <c r="D62" s="3"/>
      <c r="E62" s="91">
        <v>4.0</v>
      </c>
      <c r="F62" s="88"/>
      <c r="G62" s="90" t="s">
        <v>1109</v>
      </c>
      <c r="H62" s="3"/>
      <c r="I62" s="91">
        <v>42.0</v>
      </c>
      <c r="J62" s="88"/>
      <c r="K62" s="90" t="s">
        <v>967</v>
      </c>
      <c r="L62" s="3"/>
      <c r="M62" s="91">
        <v>40.0</v>
      </c>
      <c r="N62" s="88"/>
      <c r="O62" s="90" t="s">
        <v>1110</v>
      </c>
      <c r="P62" s="3"/>
      <c r="Q62" s="91">
        <v>33.0</v>
      </c>
      <c r="R62" s="88"/>
      <c r="S62" s="90" t="s">
        <v>959</v>
      </c>
      <c r="T62" s="3"/>
      <c r="U62" s="91">
        <v>41.0</v>
      </c>
      <c r="V62" s="88"/>
    </row>
    <row r="63" ht="14.25" customHeight="1">
      <c r="B63" s="116"/>
      <c r="C63" s="90" t="s">
        <v>648</v>
      </c>
      <c r="D63" s="3"/>
      <c r="E63" s="91">
        <v>1.0</v>
      </c>
      <c r="F63" s="88"/>
      <c r="G63" s="90" t="s">
        <v>1111</v>
      </c>
      <c r="H63" s="3"/>
      <c r="I63" s="91">
        <v>4.0</v>
      </c>
      <c r="J63" s="88"/>
      <c r="K63" s="90" t="s">
        <v>1112</v>
      </c>
      <c r="L63" s="3"/>
      <c r="M63" s="91">
        <v>23.0</v>
      </c>
      <c r="N63" s="88"/>
      <c r="O63" s="90" t="s">
        <v>1113</v>
      </c>
      <c r="P63" s="3"/>
      <c r="Q63" s="91">
        <v>36.0</v>
      </c>
      <c r="R63" s="88"/>
      <c r="S63" s="90" t="s">
        <v>965</v>
      </c>
      <c r="T63" s="3"/>
      <c r="U63" s="91">
        <v>1.0</v>
      </c>
      <c r="V63" s="88"/>
    </row>
    <row r="64" ht="14.25" customHeight="1">
      <c r="B64" s="116"/>
      <c r="C64" s="90" t="s">
        <v>1114</v>
      </c>
      <c r="D64" s="3"/>
      <c r="E64" s="91">
        <v>1.0</v>
      </c>
      <c r="F64" s="88"/>
      <c r="G64" s="90" t="s">
        <v>1115</v>
      </c>
      <c r="H64" s="3"/>
      <c r="I64" s="91">
        <v>1.0</v>
      </c>
      <c r="J64" s="88"/>
      <c r="K64" s="90" t="s">
        <v>1013</v>
      </c>
      <c r="L64" s="3"/>
      <c r="M64" s="91">
        <v>3.0</v>
      </c>
      <c r="N64" s="88"/>
      <c r="O64" s="90" t="s">
        <v>1015</v>
      </c>
      <c r="P64" s="3"/>
      <c r="Q64" s="91">
        <v>23.0</v>
      </c>
      <c r="R64" s="88"/>
      <c r="S64" s="90" t="s">
        <v>639</v>
      </c>
      <c r="T64" s="3"/>
      <c r="U64" s="91">
        <v>6.0</v>
      </c>
      <c r="V64" s="88"/>
    </row>
    <row r="65" ht="14.25" customHeight="1">
      <c r="B65" s="118"/>
      <c r="C65" s="94" t="s">
        <v>1116</v>
      </c>
      <c r="D65" s="61"/>
      <c r="E65" s="95">
        <v>1.0</v>
      </c>
      <c r="F65" s="98">
        <f>SUM(E60:E65)</f>
        <v>267</v>
      </c>
      <c r="G65" s="94" t="s">
        <v>1117</v>
      </c>
      <c r="H65" s="61"/>
      <c r="I65" s="95">
        <v>1.0</v>
      </c>
      <c r="J65" s="98">
        <f>SUM(I60:I65)</f>
        <v>149</v>
      </c>
      <c r="K65" s="94" t="s">
        <v>1118</v>
      </c>
      <c r="L65" s="61"/>
      <c r="M65" s="95">
        <v>4.0</v>
      </c>
      <c r="N65" s="98">
        <f>SUM(M60:M65)</f>
        <v>258</v>
      </c>
      <c r="O65" s="94" t="s">
        <v>849</v>
      </c>
      <c r="P65" s="61"/>
      <c r="Q65" s="95">
        <v>14.0</v>
      </c>
      <c r="R65" s="98">
        <f>SUM(Q60:Q65)</f>
        <v>208</v>
      </c>
      <c r="S65" s="94" t="s">
        <v>660</v>
      </c>
      <c r="T65" s="61"/>
      <c r="U65" s="95">
        <v>14.0</v>
      </c>
      <c r="V65" s="98">
        <f>SUM(U60:U65)</f>
        <v>230</v>
      </c>
    </row>
    <row r="66" ht="14.25" customHeight="1">
      <c r="C66" s="23" t="s">
        <v>152</v>
      </c>
      <c r="D66" s="22"/>
      <c r="E66" s="102">
        <f>SUM(E41:E65)</f>
        <v>485</v>
      </c>
      <c r="F66" s="101"/>
      <c r="G66" s="23" t="s">
        <v>152</v>
      </c>
      <c r="H66" s="22"/>
      <c r="I66" s="102">
        <f>SUM(I41:I65)</f>
        <v>500</v>
      </c>
      <c r="J66" s="101"/>
      <c r="K66" s="23" t="s">
        <v>152</v>
      </c>
      <c r="L66" s="22"/>
      <c r="M66" s="102">
        <f>SUM(M41:M65)</f>
        <v>499</v>
      </c>
      <c r="N66" s="101"/>
      <c r="O66" s="23" t="s">
        <v>152</v>
      </c>
      <c r="P66" s="22"/>
      <c r="Q66" s="102">
        <f>SUM(Q41:Q65)</f>
        <v>495</v>
      </c>
      <c r="R66" s="101"/>
      <c r="S66" s="23" t="s">
        <v>152</v>
      </c>
      <c r="T66" s="22"/>
      <c r="U66" s="102">
        <f>SUM(U41:U65)</f>
        <v>500</v>
      </c>
      <c r="V66" s="101"/>
    </row>
    <row r="67" ht="14.25" customHeight="1">
      <c r="C67" s="23" t="s">
        <v>153</v>
      </c>
      <c r="D67" s="22"/>
      <c r="E67" s="102">
        <f>500-E66</f>
        <v>15</v>
      </c>
      <c r="F67" s="103"/>
      <c r="G67" s="23" t="s">
        <v>153</v>
      </c>
      <c r="H67" s="22"/>
      <c r="I67" s="102">
        <f>500-I66</f>
        <v>0</v>
      </c>
      <c r="J67" s="103"/>
      <c r="K67" s="23" t="s">
        <v>153</v>
      </c>
      <c r="L67" s="22"/>
      <c r="M67" s="102">
        <f>500-M66</f>
        <v>1</v>
      </c>
      <c r="N67" s="103"/>
      <c r="O67" s="23" t="s">
        <v>153</v>
      </c>
      <c r="P67" s="22"/>
      <c r="Q67" s="102">
        <f>500-Q66</f>
        <v>5</v>
      </c>
      <c r="R67" s="103"/>
      <c r="S67" s="23" t="s">
        <v>153</v>
      </c>
      <c r="T67" s="22"/>
      <c r="U67" s="121">
        <f>500-U66</f>
        <v>0</v>
      </c>
      <c r="V67" s="103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7">
    <mergeCell ref="S62:T62"/>
    <mergeCell ref="S63:T63"/>
    <mergeCell ref="O58:P58"/>
    <mergeCell ref="O59:P59"/>
    <mergeCell ref="O60:P60"/>
    <mergeCell ref="O61:P61"/>
    <mergeCell ref="S61:T61"/>
    <mergeCell ref="O62:P62"/>
    <mergeCell ref="O63:P63"/>
    <mergeCell ref="O9:P9"/>
    <mergeCell ref="O10:P10"/>
    <mergeCell ref="O11:P11"/>
    <mergeCell ref="O12:P12"/>
    <mergeCell ref="O13:P13"/>
    <mergeCell ref="O14:P14"/>
    <mergeCell ref="O15:P15"/>
    <mergeCell ref="O25:P25"/>
    <mergeCell ref="O26:P26"/>
    <mergeCell ref="O30:P30"/>
    <mergeCell ref="O31:P31"/>
    <mergeCell ref="O32:P32"/>
    <mergeCell ref="O39:R39"/>
    <mergeCell ref="S39:V39"/>
    <mergeCell ref="O41:P41"/>
    <mergeCell ref="S41:T41"/>
    <mergeCell ref="O42:P42"/>
    <mergeCell ref="S42:T42"/>
    <mergeCell ref="O43:P43"/>
    <mergeCell ref="S43:T43"/>
    <mergeCell ref="S44:T44"/>
    <mergeCell ref="O44:P44"/>
    <mergeCell ref="O45:P45"/>
    <mergeCell ref="O46:P46"/>
    <mergeCell ref="O47:P47"/>
    <mergeCell ref="O48:P48"/>
    <mergeCell ref="O49:P49"/>
    <mergeCell ref="O50:P50"/>
    <mergeCell ref="S45:T45"/>
    <mergeCell ref="S46:T46"/>
    <mergeCell ref="S47:T47"/>
    <mergeCell ref="S48:T48"/>
    <mergeCell ref="S49:T49"/>
    <mergeCell ref="S50:T50"/>
    <mergeCell ref="S51:T51"/>
    <mergeCell ref="O51:P51"/>
    <mergeCell ref="O52:P52"/>
    <mergeCell ref="O53:P53"/>
    <mergeCell ref="O54:P54"/>
    <mergeCell ref="O55:P55"/>
    <mergeCell ref="O56:P56"/>
    <mergeCell ref="O57:P57"/>
    <mergeCell ref="O64:P64"/>
    <mergeCell ref="S64:T64"/>
    <mergeCell ref="G6:H6"/>
    <mergeCell ref="K6:L6"/>
    <mergeCell ref="C7:D7"/>
    <mergeCell ref="G7:H7"/>
    <mergeCell ref="K7:L7"/>
    <mergeCell ref="G8:H8"/>
    <mergeCell ref="K8:L8"/>
    <mergeCell ref="C8:D8"/>
    <mergeCell ref="C9:D9"/>
    <mergeCell ref="G9:H9"/>
    <mergeCell ref="K9:L9"/>
    <mergeCell ref="C10:D10"/>
    <mergeCell ref="K10:L10"/>
    <mergeCell ref="K11:L11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9:J39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66:H66"/>
    <mergeCell ref="G67:H67"/>
    <mergeCell ref="G59:H59"/>
    <mergeCell ref="G60:H60"/>
    <mergeCell ref="G61:H61"/>
    <mergeCell ref="G62:H62"/>
    <mergeCell ref="G63:H63"/>
    <mergeCell ref="G64:H64"/>
    <mergeCell ref="G65:H65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9:F39"/>
    <mergeCell ref="C38:D38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61:D61"/>
    <mergeCell ref="C62:D62"/>
    <mergeCell ref="C63:D63"/>
    <mergeCell ref="C64:D64"/>
    <mergeCell ref="C65:D65"/>
    <mergeCell ref="C66:D66"/>
    <mergeCell ref="C67:D67"/>
    <mergeCell ref="C54:D54"/>
    <mergeCell ref="C55:D55"/>
    <mergeCell ref="C56:D56"/>
    <mergeCell ref="C57:D57"/>
    <mergeCell ref="C58:D58"/>
    <mergeCell ref="C59:D59"/>
    <mergeCell ref="C60:D60"/>
    <mergeCell ref="O23:P23"/>
    <mergeCell ref="O24:P24"/>
    <mergeCell ref="O16:P16"/>
    <mergeCell ref="O17:P17"/>
    <mergeCell ref="O18:P18"/>
    <mergeCell ref="O19:P19"/>
    <mergeCell ref="O20:P20"/>
    <mergeCell ref="O21:P21"/>
    <mergeCell ref="O22:P22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30:L30"/>
    <mergeCell ref="K31:L31"/>
    <mergeCell ref="K32:L32"/>
    <mergeCell ref="K39:N39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65:L65"/>
    <mergeCell ref="K66:L66"/>
    <mergeCell ref="K67:L67"/>
    <mergeCell ref="K58:L58"/>
    <mergeCell ref="K59:L59"/>
    <mergeCell ref="K60:L60"/>
    <mergeCell ref="K61:L61"/>
    <mergeCell ref="K62:L62"/>
    <mergeCell ref="K63:L63"/>
    <mergeCell ref="K64:L64"/>
    <mergeCell ref="H1:Q1"/>
    <mergeCell ref="C4:F4"/>
    <mergeCell ref="G4:J4"/>
    <mergeCell ref="K4:N4"/>
    <mergeCell ref="O4:R4"/>
    <mergeCell ref="S4:V4"/>
    <mergeCell ref="C6:D6"/>
    <mergeCell ref="O6:P6"/>
    <mergeCell ref="S6:T6"/>
    <mergeCell ref="O7:P7"/>
    <mergeCell ref="S7:T7"/>
    <mergeCell ref="O8:P8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K26:L26"/>
    <mergeCell ref="K27:L27"/>
    <mergeCell ref="O27:P27"/>
    <mergeCell ref="O28:P28"/>
    <mergeCell ref="O29:P29"/>
    <mergeCell ref="K28:L28"/>
    <mergeCell ref="K29:L29"/>
    <mergeCell ref="S31:T31"/>
    <mergeCell ref="S32:T32"/>
    <mergeCell ref="S24:T24"/>
    <mergeCell ref="S25:T25"/>
    <mergeCell ref="S26:T26"/>
    <mergeCell ref="S27:T27"/>
    <mergeCell ref="S28:T28"/>
    <mergeCell ref="S29:T29"/>
    <mergeCell ref="S30:T30"/>
    <mergeCell ref="S59:T59"/>
    <mergeCell ref="S60:T60"/>
    <mergeCell ref="O65:P65"/>
    <mergeCell ref="S65:T65"/>
    <mergeCell ref="O66:P66"/>
    <mergeCell ref="S66:T66"/>
    <mergeCell ref="O67:P67"/>
    <mergeCell ref="S67:T67"/>
    <mergeCell ref="S52:T52"/>
    <mergeCell ref="S53:T53"/>
    <mergeCell ref="S54:T54"/>
    <mergeCell ref="S55:T55"/>
    <mergeCell ref="S56:T56"/>
    <mergeCell ref="S57:T57"/>
    <mergeCell ref="S58:T58"/>
  </mergeCells>
  <dataValidations>
    <dataValidation type="list" allowBlank="1" sqref="C6:C30 G6:G30 K6:K30 O6:O30 S6:S30 C41:C65 G41:G65 K41:K65 O41:O65 S41:S65">
      <formula1>Lista!$C$1:$C$998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71"/>
  </cols>
  <sheetData>
    <row r="1">
      <c r="B1" s="20" t="s">
        <v>1119</v>
      </c>
      <c r="C1" s="21"/>
      <c r="D1" s="21"/>
      <c r="E1" s="21"/>
      <c r="F1" s="21"/>
      <c r="G1" s="21"/>
      <c r="H1" s="21"/>
      <c r="I1" s="21"/>
      <c r="J1" s="21"/>
      <c r="K1" s="22"/>
    </row>
    <row r="2">
      <c r="C2" s="128"/>
      <c r="D2" s="128"/>
      <c r="E2" s="128"/>
      <c r="F2" s="128"/>
    </row>
    <row r="4">
      <c r="E4" s="121" t="s">
        <v>11</v>
      </c>
      <c r="F4" s="102" t="s">
        <v>15</v>
      </c>
      <c r="G4" s="102" t="s">
        <v>18</v>
      </c>
      <c r="H4" s="102" t="s">
        <v>13</v>
      </c>
      <c r="I4" s="102" t="s">
        <v>16</v>
      </c>
    </row>
    <row r="5">
      <c r="D5" s="129" t="s">
        <v>28</v>
      </c>
      <c r="E5" s="129">
        <f>'ROSE 2026'!F8</f>
        <v>42</v>
      </c>
      <c r="F5" s="129">
        <f>'ROSE 2026'!J8</f>
        <v>47</v>
      </c>
      <c r="G5" s="129">
        <f>'ROSE 2026'!N8</f>
        <v>23</v>
      </c>
      <c r="H5" s="129">
        <f>'ROSE 2026'!R8</f>
        <v>32</v>
      </c>
      <c r="I5" s="129">
        <f>'ROSE 2026'!V8</f>
        <v>54</v>
      </c>
    </row>
    <row r="6">
      <c r="D6" s="130" t="s">
        <v>54</v>
      </c>
      <c r="E6" s="130">
        <f>'ROSE 2026'!F16</f>
        <v>100</v>
      </c>
      <c r="F6" s="130">
        <f>'ROSE 2026'!J16</f>
        <v>101</v>
      </c>
      <c r="G6" s="130">
        <f>'ROSE 2026'!N16</f>
        <v>34</v>
      </c>
      <c r="H6" s="130">
        <f>'ROSE 2026'!R16</f>
        <v>109</v>
      </c>
      <c r="I6" s="130">
        <f>'ROSE 2026'!V16</f>
        <v>66</v>
      </c>
    </row>
    <row r="7">
      <c r="D7" s="131" t="s">
        <v>95</v>
      </c>
      <c r="E7" s="131">
        <f>'ROSE 2026'!F24</f>
        <v>119</v>
      </c>
      <c r="F7" s="131">
        <f>'ROSE 2026'!J24</f>
        <v>140</v>
      </c>
      <c r="G7" s="131">
        <f>'ROSE 2026'!N24</f>
        <v>155</v>
      </c>
      <c r="H7" s="131">
        <f>'ROSE 2026'!R24</f>
        <v>215</v>
      </c>
      <c r="I7" s="131">
        <f>'ROSE 2026'!V24</f>
        <v>92</v>
      </c>
    </row>
    <row r="8">
      <c r="D8" s="132" t="s">
        <v>131</v>
      </c>
      <c r="E8" s="132">
        <f>'ROSE 2026'!F30</f>
        <v>237</v>
      </c>
      <c r="F8" s="132">
        <f>'ROSE 2026'!J30</f>
        <v>209</v>
      </c>
      <c r="G8" s="132">
        <f>'ROSE 2026'!N30</f>
        <v>275</v>
      </c>
      <c r="H8" s="132">
        <f>'ROSE 2026'!R30</f>
        <v>134</v>
      </c>
      <c r="I8" s="132">
        <f>'ROSE 2026'!V30</f>
        <v>286</v>
      </c>
    </row>
    <row r="9">
      <c r="D9" s="133" t="s">
        <v>22</v>
      </c>
      <c r="E9" s="133">
        <f t="shared" ref="E9:I9" si="1">SUM(E5:E8)</f>
        <v>498</v>
      </c>
      <c r="F9" s="133">
        <f t="shared" si="1"/>
        <v>497</v>
      </c>
      <c r="G9" s="133">
        <f t="shared" si="1"/>
        <v>487</v>
      </c>
      <c r="H9" s="133">
        <f t="shared" si="1"/>
        <v>490</v>
      </c>
      <c r="I9" s="133">
        <f t="shared" si="1"/>
        <v>498</v>
      </c>
    </row>
    <row r="10">
      <c r="D10" s="134" t="s">
        <v>153</v>
      </c>
      <c r="E10" s="134">
        <f t="shared" ref="E10:I10" si="2">500-E9</f>
        <v>2</v>
      </c>
      <c r="F10" s="134">
        <f t="shared" si="2"/>
        <v>3</v>
      </c>
      <c r="G10" s="134">
        <f t="shared" si="2"/>
        <v>13</v>
      </c>
      <c r="H10" s="134">
        <f t="shared" si="2"/>
        <v>10</v>
      </c>
      <c r="I10" s="134">
        <f t="shared" si="2"/>
        <v>2</v>
      </c>
    </row>
    <row r="12">
      <c r="E12" s="121" t="s">
        <v>970</v>
      </c>
      <c r="F12" s="102" t="s">
        <v>155</v>
      </c>
      <c r="G12" s="121" t="s">
        <v>10</v>
      </c>
      <c r="H12" s="102" t="s">
        <v>156</v>
      </c>
      <c r="I12" s="121" t="s">
        <v>971</v>
      </c>
    </row>
    <row r="13">
      <c r="D13" s="129" t="s">
        <v>28</v>
      </c>
      <c r="E13" s="129">
        <f>'ROSE 2026'!F43</f>
        <v>58</v>
      </c>
      <c r="F13" s="129">
        <f>'ROSE 2026'!J43</f>
        <v>53</v>
      </c>
      <c r="G13" s="129">
        <f>'ROSE 2026'!N43</f>
        <v>32</v>
      </c>
      <c r="H13" s="129">
        <f>'ROSE 2026'!R43</f>
        <v>57</v>
      </c>
      <c r="I13" s="129">
        <f>'ROSE 2026'!V43</f>
        <v>59</v>
      </c>
    </row>
    <row r="14">
      <c r="D14" s="130" t="s">
        <v>54</v>
      </c>
      <c r="E14" s="130">
        <f>'ROSE 2026'!F51</f>
        <v>86</v>
      </c>
      <c r="F14" s="130">
        <f>'ROSE 2026'!J51</f>
        <v>134</v>
      </c>
      <c r="G14" s="130">
        <f>'ROSE 2026'!N51</f>
        <v>67</v>
      </c>
      <c r="H14" s="130">
        <f>'ROSE 2026'!R51</f>
        <v>108</v>
      </c>
      <c r="I14" s="130">
        <f>'ROSE 2026'!V51</f>
        <v>80</v>
      </c>
    </row>
    <row r="15">
      <c r="D15" s="131" t="s">
        <v>95</v>
      </c>
      <c r="E15" s="131">
        <f>'ROSE 2026'!F59</f>
        <v>74</v>
      </c>
      <c r="F15" s="131">
        <f>'ROSE 2026'!J59</f>
        <v>164</v>
      </c>
      <c r="G15" s="131">
        <f>'ROSE 2026'!N59</f>
        <v>142</v>
      </c>
      <c r="H15" s="131">
        <f>'ROSE 2026'!R59</f>
        <v>122</v>
      </c>
      <c r="I15" s="131">
        <f>'ROSE 2026'!V59</f>
        <v>131</v>
      </c>
    </row>
    <row r="16">
      <c r="D16" s="132" t="s">
        <v>131</v>
      </c>
      <c r="E16" s="132">
        <f>'ROSE 2026'!F65</f>
        <v>267</v>
      </c>
      <c r="F16" s="132">
        <f>'ROSE 2026'!J65</f>
        <v>149</v>
      </c>
      <c r="G16" s="132">
        <f>'ROSE 2026'!N65</f>
        <v>258</v>
      </c>
      <c r="H16" s="132">
        <f>'ROSE 2026'!R65</f>
        <v>208</v>
      </c>
      <c r="I16" s="132">
        <f>'ROSE 2026'!V65</f>
        <v>230</v>
      </c>
    </row>
    <row r="17">
      <c r="D17" s="133" t="s">
        <v>22</v>
      </c>
      <c r="E17" s="133">
        <f t="shared" ref="E17:I17" si="3">SUM(E13:E16)</f>
        <v>485</v>
      </c>
      <c r="F17" s="133">
        <f t="shared" si="3"/>
        <v>500</v>
      </c>
      <c r="G17" s="133">
        <f t="shared" si="3"/>
        <v>499</v>
      </c>
      <c r="H17" s="133">
        <f t="shared" si="3"/>
        <v>495</v>
      </c>
      <c r="I17" s="133">
        <f t="shared" si="3"/>
        <v>500</v>
      </c>
    </row>
    <row r="18">
      <c r="D18" s="134" t="s">
        <v>153</v>
      </c>
      <c r="E18" s="134">
        <f t="shared" ref="E18:I18" si="4">500-E17</f>
        <v>15</v>
      </c>
      <c r="F18" s="134">
        <f t="shared" si="4"/>
        <v>0</v>
      </c>
      <c r="G18" s="134">
        <f t="shared" si="4"/>
        <v>1</v>
      </c>
      <c r="H18" s="134">
        <f t="shared" si="4"/>
        <v>5</v>
      </c>
      <c r="I18" s="134">
        <f t="shared" si="4"/>
        <v>0</v>
      </c>
    </row>
  </sheetData>
  <mergeCells count="1">
    <mergeCell ref="B1:K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5" t="s">
        <v>1120</v>
      </c>
      <c r="B1" s="125" t="s">
        <v>1121</v>
      </c>
      <c r="C1" s="125" t="s">
        <v>1122</v>
      </c>
      <c r="D1" s="125" t="s">
        <v>1123</v>
      </c>
    </row>
    <row r="2">
      <c r="A2" s="125" t="s">
        <v>1124</v>
      </c>
      <c r="B2" s="135" t="str">
        <f>'ROSE 2026'!C6</f>
        <v>Carnesecchi</v>
      </c>
      <c r="C2" s="135">
        <f>'ROSE 2026'!E6</f>
        <v>40</v>
      </c>
      <c r="D2" s="125" t="s">
        <v>1125</v>
      </c>
    </row>
    <row r="3">
      <c r="A3" s="125" t="s">
        <v>1124</v>
      </c>
      <c r="B3" s="135" t="str">
        <f>'ROSE 2026'!C7</f>
        <v>Sportiello</v>
      </c>
      <c r="C3" s="135">
        <f>'ROSE 2026'!E7</f>
        <v>1</v>
      </c>
      <c r="D3" s="125" t="s">
        <v>1125</v>
      </c>
    </row>
    <row r="4">
      <c r="A4" s="125" t="s">
        <v>1124</v>
      </c>
      <c r="B4" s="135" t="str">
        <f>'ROSE 2026'!C8</f>
        <v>Okoye</v>
      </c>
      <c r="C4" s="135">
        <f>'ROSE 2026'!E8</f>
        <v>1</v>
      </c>
      <c r="D4" s="125" t="s">
        <v>1125</v>
      </c>
    </row>
    <row r="5">
      <c r="A5" s="125" t="s">
        <v>1124</v>
      </c>
      <c r="B5" s="135" t="str">
        <f>'ROSE 2026'!C9</f>
        <v>Bastoni</v>
      </c>
      <c r="C5" s="135">
        <f>'ROSE 2026'!E9</f>
        <v>35</v>
      </c>
      <c r="D5" s="125" t="s">
        <v>1126</v>
      </c>
    </row>
    <row r="6">
      <c r="A6" s="125" t="s">
        <v>1124</v>
      </c>
      <c r="B6" s="135" t="str">
        <f>'ROSE 2026'!C10</f>
        <v>Miranda J.</v>
      </c>
      <c r="C6" s="135">
        <f>'ROSE 2026'!E10</f>
        <v>16</v>
      </c>
      <c r="D6" s="125" t="s">
        <v>1126</v>
      </c>
    </row>
    <row r="7">
      <c r="A7" s="125" t="s">
        <v>1124</v>
      </c>
      <c r="B7" s="135" t="str">
        <f>'ROSE 2026'!C11</f>
        <v>Solet</v>
      </c>
      <c r="C7" s="135">
        <f>'ROSE 2026'!E11</f>
        <v>25</v>
      </c>
      <c r="D7" s="125" t="s">
        <v>1126</v>
      </c>
    </row>
    <row r="8">
      <c r="A8" s="125" t="s">
        <v>1124</v>
      </c>
      <c r="B8" s="135" t="str">
        <f>'ROSE 2026'!C12</f>
        <v>Vasquez</v>
      </c>
      <c r="C8" s="135">
        <f>'ROSE 2026'!E12</f>
        <v>12</v>
      </c>
      <c r="D8" s="125" t="s">
        <v>1126</v>
      </c>
    </row>
    <row r="9">
      <c r="A9" s="125" t="s">
        <v>1124</v>
      </c>
      <c r="B9" s="135" t="str">
        <f>'ROSE 2026'!C13</f>
        <v>Gabbia</v>
      </c>
      <c r="C9" s="135">
        <f>'ROSE 2026'!E13</f>
        <v>4</v>
      </c>
      <c r="D9" s="125" t="s">
        <v>1126</v>
      </c>
    </row>
    <row r="10">
      <c r="A10" s="125" t="s">
        <v>1124</v>
      </c>
      <c r="B10" s="135" t="str">
        <f>'ROSE 2026'!C14</f>
        <v>Gallo</v>
      </c>
      <c r="C10" s="135">
        <f>'ROSE 2026'!E14</f>
        <v>5</v>
      </c>
      <c r="D10" s="125" t="s">
        <v>1126</v>
      </c>
    </row>
    <row r="11">
      <c r="A11" s="125" t="s">
        <v>1124</v>
      </c>
      <c r="B11" s="135" t="str">
        <f>'ROSE 2026'!C15</f>
        <v>Ismajli</v>
      </c>
      <c r="C11" s="135">
        <f>'ROSE 2026'!E15</f>
        <v>2</v>
      </c>
      <c r="D11" s="125" t="s">
        <v>1126</v>
      </c>
    </row>
    <row r="12">
      <c r="A12" s="125" t="s">
        <v>1124</v>
      </c>
      <c r="B12" s="135" t="str">
        <f>'ROSE 2026'!C16</f>
        <v>Kelly L.</v>
      </c>
      <c r="C12" s="135">
        <f>'ROSE 2026'!E16</f>
        <v>1</v>
      </c>
      <c r="D12" s="125" t="s">
        <v>1126</v>
      </c>
    </row>
    <row r="13">
      <c r="A13" s="125" t="s">
        <v>1124</v>
      </c>
      <c r="B13" s="135" t="str">
        <f>'ROSE 2026'!C17</f>
        <v>Conceicao</v>
      </c>
      <c r="C13" s="135">
        <f>'ROSE 2026'!E17</f>
        <v>36</v>
      </c>
      <c r="D13" s="125" t="s">
        <v>1127</v>
      </c>
    </row>
    <row r="14">
      <c r="A14" s="125" t="s">
        <v>1124</v>
      </c>
      <c r="B14" s="135" t="str">
        <f>'ROSE 2026'!C18</f>
        <v>Rabiot</v>
      </c>
      <c r="C14" s="135">
        <f>'ROSE 2026'!E18</f>
        <v>35</v>
      </c>
      <c r="D14" s="125" t="s">
        <v>1127</v>
      </c>
    </row>
    <row r="15">
      <c r="A15" s="125" t="s">
        <v>1124</v>
      </c>
      <c r="B15" s="135" t="str">
        <f>'ROSE 2026'!C19</f>
        <v>Bernabè</v>
      </c>
      <c r="C15" s="135">
        <f>'ROSE 2026'!E19</f>
        <v>20</v>
      </c>
      <c r="D15" s="125" t="s">
        <v>1127</v>
      </c>
    </row>
    <row r="16">
      <c r="A16" s="125" t="s">
        <v>1124</v>
      </c>
      <c r="B16" s="135" t="str">
        <f>'ROSE 2026'!C20</f>
        <v>Sucic P.</v>
      </c>
      <c r="C16" s="135">
        <f>'ROSE 2026'!E20</f>
        <v>13</v>
      </c>
      <c r="D16" s="125" t="s">
        <v>1127</v>
      </c>
    </row>
    <row r="17">
      <c r="A17" s="125" t="s">
        <v>1124</v>
      </c>
      <c r="B17" s="135" t="str">
        <f>'ROSE 2026'!C21</f>
        <v>Pasalic</v>
      </c>
      <c r="C17" s="135">
        <f>'ROSE 2026'!E21</f>
        <v>12</v>
      </c>
      <c r="D17" s="125" t="s">
        <v>1127</v>
      </c>
    </row>
    <row r="18">
      <c r="A18" s="125" t="s">
        <v>1124</v>
      </c>
      <c r="B18" s="135" t="str">
        <f>'ROSE 2026'!C22</f>
        <v>Bernardeschi</v>
      </c>
      <c r="C18" s="135">
        <f>'ROSE 2026'!E22</f>
        <v>1</v>
      </c>
      <c r="D18" s="125" t="s">
        <v>1127</v>
      </c>
    </row>
    <row r="19">
      <c r="A19" s="125" t="s">
        <v>1124</v>
      </c>
      <c r="B19" s="135" t="str">
        <f>'ROSE 2026'!C23</f>
        <v>Frendrup</v>
      </c>
      <c r="C19" s="135">
        <f>'ROSE 2026'!E23</f>
        <v>1</v>
      </c>
      <c r="D19" s="125" t="s">
        <v>1127</v>
      </c>
    </row>
    <row r="20">
      <c r="A20" s="125" t="s">
        <v>1124</v>
      </c>
      <c r="B20" s="135" t="str">
        <f>'ROSE 2026'!C24</f>
        <v>Mkhitaryan</v>
      </c>
      <c r="C20" s="135">
        <f>'ROSE 2026'!E24</f>
        <v>1</v>
      </c>
      <c r="D20" s="125" t="s">
        <v>1127</v>
      </c>
    </row>
    <row r="21">
      <c r="A21" s="125" t="s">
        <v>1124</v>
      </c>
      <c r="B21" s="135" t="str">
        <f>'ROSE 2026'!C25</f>
        <v>Kean</v>
      </c>
      <c r="C21" s="135">
        <f>'ROSE 2026'!E25</f>
        <v>160</v>
      </c>
      <c r="D21" s="125" t="s">
        <v>1128</v>
      </c>
    </row>
    <row r="22">
      <c r="A22" s="125" t="s">
        <v>1124</v>
      </c>
      <c r="B22" s="135" t="str">
        <f>'ROSE 2026'!C26</f>
        <v>Zapata D.</v>
      </c>
      <c r="C22" s="135">
        <f>'ROSE 2026'!E26</f>
        <v>15</v>
      </c>
      <c r="D22" s="125" t="s">
        <v>1128</v>
      </c>
    </row>
    <row r="23">
      <c r="A23" s="125" t="s">
        <v>1124</v>
      </c>
      <c r="B23" s="135" t="str">
        <f>'ROSE 2026'!C27</f>
        <v>Vlahovic</v>
      </c>
      <c r="C23" s="135">
        <f>'ROSE 2026'!E27</f>
        <v>40</v>
      </c>
      <c r="D23" s="125" t="s">
        <v>1128</v>
      </c>
    </row>
    <row r="24">
      <c r="A24" s="125" t="s">
        <v>1124</v>
      </c>
      <c r="B24" s="135" t="str">
        <f>'ROSE 2026'!C28</f>
        <v>Nzola</v>
      </c>
      <c r="C24" s="135">
        <f>'ROSE 2026'!E28</f>
        <v>20</v>
      </c>
      <c r="D24" s="125" t="s">
        <v>1128</v>
      </c>
    </row>
    <row r="25">
      <c r="A25" s="125" t="s">
        <v>1124</v>
      </c>
      <c r="B25" s="135" t="str">
        <f>'ROSE 2026'!C29</f>
        <v>Orban G.</v>
      </c>
      <c r="C25" s="135">
        <f>'ROSE 2026'!E29</f>
        <v>1</v>
      </c>
      <c r="D25" s="125" t="s">
        <v>1128</v>
      </c>
    </row>
    <row r="26">
      <c r="A26" s="125" t="s">
        <v>1124</v>
      </c>
      <c r="B26" s="135" t="str">
        <f>'ROSE 2026'!C30</f>
        <v>Sulemana K.</v>
      </c>
      <c r="C26" s="135">
        <f>'ROSE 2026'!E30</f>
        <v>1</v>
      </c>
      <c r="D26" s="125" t="s">
        <v>1128</v>
      </c>
    </row>
    <row r="27">
      <c r="A27" s="125" t="s">
        <v>1129</v>
      </c>
      <c r="B27" s="135" t="str">
        <f>'ROSE 2026'!G6</f>
        <v>Meret</v>
      </c>
      <c r="C27" s="135">
        <f>'ROSE 2026'!I6</f>
        <v>44</v>
      </c>
      <c r="D27" s="125" t="s">
        <v>1125</v>
      </c>
    </row>
    <row r="28">
      <c r="A28" s="125" t="s">
        <v>1129</v>
      </c>
      <c r="B28" s="135" t="str">
        <f>'ROSE 2026'!G7</f>
        <v>Audero</v>
      </c>
      <c r="C28" s="135">
        <f>'ROSE 2026'!I7</f>
        <v>2</v>
      </c>
      <c r="D28" s="125" t="s">
        <v>1125</v>
      </c>
    </row>
    <row r="29">
      <c r="A29" s="125" t="s">
        <v>1129</v>
      </c>
      <c r="B29" s="135" t="str">
        <f>'ROSE 2026'!G8</f>
        <v>Montipò</v>
      </c>
      <c r="C29" s="135">
        <f>'ROSE 2026'!I8</f>
        <v>1</v>
      </c>
      <c r="D29" s="125" t="s">
        <v>1125</v>
      </c>
    </row>
    <row r="30">
      <c r="A30" s="125" t="s">
        <v>1129</v>
      </c>
      <c r="B30" s="135" t="str">
        <f>'ROSE 2026'!G9</f>
        <v>Gosens</v>
      </c>
      <c r="C30" s="135">
        <f>'ROSE 2026'!I9</f>
        <v>40</v>
      </c>
      <c r="D30" s="125" t="s">
        <v>1126</v>
      </c>
    </row>
    <row r="31">
      <c r="A31" s="125" t="s">
        <v>1129</v>
      </c>
      <c r="B31" s="135" t="str">
        <f>'ROSE 2026'!G10</f>
        <v>Bellanova</v>
      </c>
      <c r="C31" s="135">
        <f>'ROSE 2026'!I10</f>
        <v>35</v>
      </c>
      <c r="D31" s="125" t="s">
        <v>1126</v>
      </c>
    </row>
    <row r="32">
      <c r="A32" s="125" t="s">
        <v>1129</v>
      </c>
      <c r="B32" s="135" t="str">
        <f>'ROSE 2026'!G11</f>
        <v>De Winter</v>
      </c>
      <c r="C32" s="135">
        <f>'ROSE 2026'!I11</f>
        <v>3</v>
      </c>
      <c r="D32" s="125" t="s">
        <v>1126</v>
      </c>
    </row>
    <row r="33">
      <c r="A33" s="125" t="s">
        <v>1129</v>
      </c>
      <c r="B33" s="135" t="str">
        <f>'ROSE 2026'!G12</f>
        <v>Delprato</v>
      </c>
      <c r="C33" s="135">
        <f>'ROSE 2026'!I12</f>
        <v>13</v>
      </c>
      <c r="D33" s="125" t="s">
        <v>1126</v>
      </c>
    </row>
    <row r="34">
      <c r="A34" s="125" t="s">
        <v>1129</v>
      </c>
      <c r="B34" s="135" t="str">
        <f>'ROSE 2026'!G13</f>
        <v>Comuzzo</v>
      </c>
      <c r="C34" s="135">
        <f>'ROSE 2026'!I13</f>
        <v>4</v>
      </c>
      <c r="D34" s="125" t="s">
        <v>1126</v>
      </c>
    </row>
    <row r="35">
      <c r="A35" s="125" t="s">
        <v>1129</v>
      </c>
      <c r="B35" s="135" t="str">
        <f>'ROSE 2026'!G14</f>
        <v>Ranieri L.</v>
      </c>
      <c r="C35" s="135">
        <f>'ROSE 2026'!I14</f>
        <v>4</v>
      </c>
      <c r="D35" s="125" t="s">
        <v>1126</v>
      </c>
    </row>
    <row r="36">
      <c r="A36" s="125" t="s">
        <v>1129</v>
      </c>
      <c r="B36" s="135" t="str">
        <f>'ROSE 2026'!G15</f>
        <v>Kristensen T.</v>
      </c>
      <c r="C36" s="135">
        <f>'ROSE 2026'!I15</f>
        <v>1</v>
      </c>
      <c r="D36" s="125" t="s">
        <v>1126</v>
      </c>
    </row>
    <row r="37">
      <c r="A37" s="125" t="s">
        <v>1129</v>
      </c>
      <c r="B37" s="135" t="str">
        <f>'ROSE 2026'!G16</f>
        <v>Ahanor</v>
      </c>
      <c r="C37" s="135">
        <f>'ROSE 2026'!I16</f>
        <v>1</v>
      </c>
      <c r="D37" s="125" t="s">
        <v>1126</v>
      </c>
    </row>
    <row r="38">
      <c r="A38" s="125" t="s">
        <v>1129</v>
      </c>
      <c r="B38" s="135" t="str">
        <f>'ROSE 2026'!G17</f>
        <v>Orsolini</v>
      </c>
      <c r="C38" s="135">
        <f>'ROSE 2026'!I17</f>
        <v>70</v>
      </c>
      <c r="D38" s="125" t="s">
        <v>1127</v>
      </c>
    </row>
    <row r="39">
      <c r="A39" s="125" t="s">
        <v>1129</v>
      </c>
      <c r="B39" s="135" t="str">
        <f>'ROSE 2026'!G18</f>
        <v>Zambo Anguissa</v>
      </c>
      <c r="C39" s="135">
        <f>'ROSE 2026'!I18</f>
        <v>23</v>
      </c>
      <c r="D39" s="125" t="s">
        <v>1127</v>
      </c>
    </row>
    <row r="40">
      <c r="A40" s="125" t="s">
        <v>1129</v>
      </c>
      <c r="B40" s="135" t="str">
        <f>'ROSE 2026'!G19</f>
        <v>Loftus-Cheek</v>
      </c>
      <c r="C40" s="135">
        <f>'ROSE 2026'!I19</f>
        <v>21</v>
      </c>
      <c r="D40" s="125" t="s">
        <v>1127</v>
      </c>
    </row>
    <row r="41">
      <c r="A41" s="125" t="s">
        <v>1129</v>
      </c>
      <c r="B41" s="135" t="str">
        <f>'ROSE 2026'!G20</f>
        <v>Rowe</v>
      </c>
      <c r="C41" s="135">
        <f>'ROSE 2026'!I20</f>
        <v>16</v>
      </c>
      <c r="D41" s="125" t="s">
        <v>1127</v>
      </c>
    </row>
    <row r="42">
      <c r="A42" s="125" t="s">
        <v>1129</v>
      </c>
      <c r="B42" s="135" t="str">
        <f>'ROSE 2026'!G21</f>
        <v>Da Cunha</v>
      </c>
      <c r="C42" s="135">
        <f>'ROSE 2026'!I21</f>
        <v>7</v>
      </c>
      <c r="D42" s="125" t="s">
        <v>1127</v>
      </c>
    </row>
    <row r="43">
      <c r="A43" s="125" t="s">
        <v>1129</v>
      </c>
      <c r="B43" s="135" t="str">
        <f>'ROSE 2026'!G22</f>
        <v>Jashari</v>
      </c>
      <c r="C43" s="135">
        <f>'ROSE 2026'!I22</f>
        <v>1</v>
      </c>
      <c r="D43" s="125" t="s">
        <v>1127</v>
      </c>
    </row>
    <row r="44">
      <c r="A44" s="125" t="s">
        <v>1129</v>
      </c>
      <c r="B44" s="135" t="str">
        <f>'ROSE 2026'!G23</f>
        <v>Cristante</v>
      </c>
      <c r="C44" s="135">
        <f>'ROSE 2026'!I23</f>
        <v>1</v>
      </c>
      <c r="D44" s="125" t="s">
        <v>1127</v>
      </c>
    </row>
    <row r="45">
      <c r="A45" s="125" t="s">
        <v>1129</v>
      </c>
      <c r="B45" s="135" t="str">
        <f>'ROSE 2026'!G24</f>
        <v>Fofana Y.</v>
      </c>
      <c r="C45" s="135">
        <f>'ROSE 2026'!I24</f>
        <v>1</v>
      </c>
      <c r="D45" s="125" t="s">
        <v>1127</v>
      </c>
    </row>
    <row r="46">
      <c r="A46" s="125" t="s">
        <v>1129</v>
      </c>
      <c r="B46" s="135" t="str">
        <f>'ROSE 2026'!G25</f>
        <v>Hojlund</v>
      </c>
      <c r="C46" s="135">
        <f>'ROSE 2026'!I25</f>
        <v>108</v>
      </c>
      <c r="D46" s="125" t="s">
        <v>1128</v>
      </c>
    </row>
    <row r="47">
      <c r="A47" s="125" t="s">
        <v>1129</v>
      </c>
      <c r="B47" s="135" t="str">
        <f>'ROSE 2026'!G26</f>
        <v>Dybala</v>
      </c>
      <c r="C47" s="135">
        <f>'ROSE 2026'!I26</f>
        <v>51</v>
      </c>
      <c r="D47" s="125" t="s">
        <v>1128</v>
      </c>
    </row>
    <row r="48">
      <c r="A48" s="125" t="s">
        <v>1129</v>
      </c>
      <c r="B48" s="135" t="str">
        <f>'ROSE 2026'!G27</f>
        <v>Lucca</v>
      </c>
      <c r="C48" s="135">
        <f>'ROSE 2026'!I27</f>
        <v>15</v>
      </c>
      <c r="D48" s="125" t="s">
        <v>1128</v>
      </c>
    </row>
    <row r="49">
      <c r="A49" s="125" t="s">
        <v>1129</v>
      </c>
      <c r="B49" s="135" t="str">
        <f>'ROSE 2026'!G28</f>
        <v>Davis K.</v>
      </c>
      <c r="C49" s="135">
        <f>'ROSE 2026'!I28</f>
        <v>22</v>
      </c>
      <c r="D49" s="125" t="s">
        <v>1128</v>
      </c>
    </row>
    <row r="50">
      <c r="A50" s="125" t="s">
        <v>1129</v>
      </c>
      <c r="B50" s="135" t="str">
        <f>'ROSE 2026'!G29</f>
        <v>Camarda</v>
      </c>
      <c r="C50" s="135">
        <f>'ROSE 2026'!I29</f>
        <v>12</v>
      </c>
      <c r="D50" s="125" t="s">
        <v>1128</v>
      </c>
    </row>
    <row r="51">
      <c r="A51" s="125" t="s">
        <v>1129</v>
      </c>
      <c r="B51" s="135" t="str">
        <f>'ROSE 2026'!G30</f>
        <v>Cutrone</v>
      </c>
      <c r="C51" s="135">
        <f>'ROSE 2026'!I30</f>
        <v>1</v>
      </c>
      <c r="D51" s="125" t="s">
        <v>1128</v>
      </c>
    </row>
    <row r="52">
      <c r="A52" s="125" t="s">
        <v>1130</v>
      </c>
      <c r="B52" s="135" t="str">
        <f>'ROSE 2026'!K6</f>
        <v>Leali</v>
      </c>
      <c r="C52" s="135">
        <f>'ROSE 2026'!M6</f>
        <v>8</v>
      </c>
      <c r="D52" s="125" t="s">
        <v>1125</v>
      </c>
    </row>
    <row r="53">
      <c r="A53" s="125" t="s">
        <v>1130</v>
      </c>
      <c r="B53" s="135" t="str">
        <f>'ROSE 2026'!K7</f>
        <v>Semper</v>
      </c>
      <c r="C53" s="135">
        <f>'ROSE 2026'!M7</f>
        <v>2</v>
      </c>
      <c r="D53" s="125" t="s">
        <v>1125</v>
      </c>
    </row>
    <row r="54">
      <c r="A54" s="125" t="s">
        <v>1130</v>
      </c>
      <c r="B54" s="135" t="str">
        <f>'ROSE 2026'!K8</f>
        <v>Suzuki</v>
      </c>
      <c r="C54" s="135">
        <f>'ROSE 2026'!M8</f>
        <v>13</v>
      </c>
      <c r="D54" s="125" t="s">
        <v>1125</v>
      </c>
    </row>
    <row r="55">
      <c r="A55" s="125" t="s">
        <v>1130</v>
      </c>
      <c r="B55" s="135" t="str">
        <f>'ROSE 2026'!K9</f>
        <v>Gila</v>
      </c>
      <c r="C55" s="135">
        <f>'ROSE 2026'!M9</f>
        <v>8</v>
      </c>
      <c r="D55" s="125" t="s">
        <v>1126</v>
      </c>
    </row>
    <row r="56">
      <c r="A56" s="125" t="s">
        <v>1130</v>
      </c>
      <c r="B56" s="135" t="str">
        <f>'ROSE 2026'!K10</f>
        <v>Tomori</v>
      </c>
      <c r="C56" s="135">
        <f>'ROSE 2026'!M10</f>
        <v>5</v>
      </c>
      <c r="D56" s="125" t="s">
        <v>1126</v>
      </c>
    </row>
    <row r="57">
      <c r="A57" s="125" t="s">
        <v>1130</v>
      </c>
      <c r="B57" s="135" t="str">
        <f>'ROSE 2026'!K11</f>
        <v>Gatti</v>
      </c>
      <c r="C57" s="135">
        <f>'ROSE 2026'!M11</f>
        <v>7</v>
      </c>
      <c r="D57" s="125" t="s">
        <v>1126</v>
      </c>
    </row>
    <row r="58">
      <c r="A58" s="125" t="s">
        <v>1130</v>
      </c>
      <c r="B58" s="135" t="str">
        <f>'ROSE 2026'!K12</f>
        <v>Palestra</v>
      </c>
      <c r="C58" s="135">
        <f>'ROSE 2026'!M12</f>
        <v>5</v>
      </c>
      <c r="D58" s="125" t="s">
        <v>1126</v>
      </c>
    </row>
    <row r="59">
      <c r="A59" s="125" t="s">
        <v>1130</v>
      </c>
      <c r="B59" s="135" t="str">
        <f>'ROSE 2026'!K13</f>
        <v>De Vrij</v>
      </c>
      <c r="C59" s="135">
        <f>'ROSE 2026'!M13</f>
        <v>2</v>
      </c>
      <c r="D59" s="125" t="s">
        <v>1126</v>
      </c>
    </row>
    <row r="60">
      <c r="A60" s="125" t="s">
        <v>1130</v>
      </c>
      <c r="B60" s="135" t="str">
        <f>'ROSE 2026'!K14</f>
        <v>Pezzella Giu.</v>
      </c>
      <c r="C60" s="135">
        <f>'ROSE 2026'!M14</f>
        <v>1</v>
      </c>
      <c r="D60" s="125" t="s">
        <v>1126</v>
      </c>
    </row>
    <row r="61">
      <c r="A61" s="125" t="s">
        <v>1130</v>
      </c>
      <c r="B61" s="135" t="str">
        <f>'ROSE 2026'!K15</f>
        <v>Doig</v>
      </c>
      <c r="C61" s="135">
        <f>'ROSE 2026'!M15</f>
        <v>4</v>
      </c>
      <c r="D61" s="125" t="s">
        <v>1126</v>
      </c>
    </row>
    <row r="62">
      <c r="A62" s="125" t="s">
        <v>1130</v>
      </c>
      <c r="B62" s="135" t="str">
        <f>'ROSE 2026'!K16</f>
        <v>Hermoso</v>
      </c>
      <c r="C62" s="135">
        <f>'ROSE 2026'!M16</f>
        <v>2</v>
      </c>
      <c r="D62" s="125" t="s">
        <v>1126</v>
      </c>
    </row>
    <row r="63">
      <c r="A63" s="125" t="s">
        <v>1130</v>
      </c>
      <c r="B63" s="135" t="str">
        <f>'ROSE 2026'!K17</f>
        <v>Zaccagni</v>
      </c>
      <c r="C63" s="135">
        <f>'ROSE 2026'!M17</f>
        <v>80</v>
      </c>
      <c r="D63" s="125" t="s">
        <v>1127</v>
      </c>
    </row>
    <row r="64">
      <c r="A64" s="125" t="s">
        <v>1130</v>
      </c>
      <c r="B64" s="135" t="str">
        <f>'ROSE 2026'!K18</f>
        <v>Zhegrova</v>
      </c>
      <c r="C64" s="135">
        <f>'ROSE 2026'!M18</f>
        <v>21</v>
      </c>
      <c r="D64" s="125" t="s">
        <v>1127</v>
      </c>
    </row>
    <row r="65">
      <c r="A65" s="125" t="s">
        <v>1130</v>
      </c>
      <c r="B65" s="135" t="str">
        <f>'ROSE 2026'!K19</f>
        <v>Odgaard</v>
      </c>
      <c r="C65" s="135">
        <f>'ROSE 2026'!M19</f>
        <v>33</v>
      </c>
      <c r="D65" s="125" t="s">
        <v>1127</v>
      </c>
    </row>
    <row r="66">
      <c r="A66" s="125" t="s">
        <v>1130</v>
      </c>
      <c r="B66" s="135" t="str">
        <f>'ROSE 2026'!K20</f>
        <v>Lobotka</v>
      </c>
      <c r="C66" s="135">
        <f>'ROSE 2026'!M20</f>
        <v>3</v>
      </c>
      <c r="D66" s="125" t="s">
        <v>1127</v>
      </c>
    </row>
    <row r="67">
      <c r="A67" s="125" t="s">
        <v>1130</v>
      </c>
      <c r="B67" s="135" t="str">
        <f>'ROSE 2026'!K21</f>
        <v>Stanciu</v>
      </c>
      <c r="C67" s="135">
        <f>'ROSE 2026'!M21</f>
        <v>4</v>
      </c>
      <c r="D67" s="125" t="s">
        <v>1127</v>
      </c>
    </row>
    <row r="68">
      <c r="A68" s="125" t="s">
        <v>1130</v>
      </c>
      <c r="B68" s="135" t="str">
        <f>'ROSE 2026'!K22</f>
        <v>Thorstvedt</v>
      </c>
      <c r="C68" s="135">
        <f>'ROSE 2026'!M22</f>
        <v>1</v>
      </c>
      <c r="D68" s="125" t="s">
        <v>1127</v>
      </c>
    </row>
    <row r="69">
      <c r="A69" s="125" t="s">
        <v>1130</v>
      </c>
      <c r="B69" s="135" t="str">
        <f>'ROSE 2026'!K23</f>
        <v>Zaniolo</v>
      </c>
      <c r="C69" s="135">
        <f>'ROSE 2026'!M23</f>
        <v>6</v>
      </c>
      <c r="D69" s="125" t="s">
        <v>1127</v>
      </c>
    </row>
    <row r="70">
      <c r="A70" s="125" t="s">
        <v>1130</v>
      </c>
      <c r="B70" s="135" t="str">
        <f>'ROSE 2026'!K24</f>
        <v>Maldini</v>
      </c>
      <c r="C70" s="135">
        <f>'ROSE 2026'!M24</f>
        <v>7</v>
      </c>
      <c r="D70" s="125" t="s">
        <v>1127</v>
      </c>
    </row>
    <row r="71">
      <c r="A71" s="125" t="s">
        <v>1130</v>
      </c>
      <c r="B71" s="135" t="str">
        <f>'ROSE 2026'!K25</f>
        <v>Castro S.</v>
      </c>
      <c r="C71" s="135">
        <f>'ROSE 2026'!M25</f>
        <v>71</v>
      </c>
      <c r="D71" s="125" t="s">
        <v>1128</v>
      </c>
    </row>
    <row r="72">
      <c r="A72" s="125" t="s">
        <v>1130</v>
      </c>
      <c r="B72" s="135" t="str">
        <f>'ROSE 2026'!K26</f>
        <v>Leao</v>
      </c>
      <c r="C72" s="135">
        <f>'ROSE 2026'!M26</f>
        <v>135</v>
      </c>
      <c r="D72" s="125" t="s">
        <v>1128</v>
      </c>
    </row>
    <row r="73">
      <c r="A73" s="125" t="s">
        <v>1130</v>
      </c>
      <c r="B73" s="135" t="str">
        <f>'ROSE 2026'!K27</f>
        <v>De Ketelaere</v>
      </c>
      <c r="C73" s="135">
        <f>'ROSE 2026'!M27</f>
        <v>30</v>
      </c>
      <c r="D73" s="125" t="s">
        <v>1128</v>
      </c>
    </row>
    <row r="74">
      <c r="A74" s="125" t="s">
        <v>1130</v>
      </c>
      <c r="B74" s="135" t="str">
        <f>'ROSE 2026'!K28</f>
        <v>Lukaku</v>
      </c>
      <c r="C74" s="135">
        <f>'ROSE 2026'!M28</f>
        <v>31</v>
      </c>
      <c r="D74" s="125" t="s">
        <v>1128</v>
      </c>
    </row>
    <row r="75">
      <c r="A75" s="125" t="s">
        <v>1130</v>
      </c>
      <c r="B75" s="135" t="str">
        <f>'ROSE 2026'!K29</f>
        <v>Simeone</v>
      </c>
      <c r="C75" s="135">
        <f>'ROSE 2026'!M29</f>
        <v>4</v>
      </c>
      <c r="D75" s="125" t="s">
        <v>1128</v>
      </c>
    </row>
    <row r="76">
      <c r="A76" s="125" t="s">
        <v>1130</v>
      </c>
      <c r="B76" s="135" t="str">
        <f>'ROSE 2026'!K30</f>
        <v>Lang</v>
      </c>
      <c r="C76" s="135">
        <f>'ROSE 2026'!M30</f>
        <v>4</v>
      </c>
      <c r="D76" s="125" t="s">
        <v>1128</v>
      </c>
    </row>
    <row r="77">
      <c r="A77" s="125" t="s">
        <v>1131</v>
      </c>
      <c r="B77" s="135" t="str">
        <f>'ROSE 2026'!O6</f>
        <v>Provedel</v>
      </c>
      <c r="C77" s="135">
        <f>'ROSE 2026'!Q6</f>
        <v>17</v>
      </c>
      <c r="D77" s="125" t="s">
        <v>1125</v>
      </c>
    </row>
    <row r="78">
      <c r="A78" s="125" t="s">
        <v>1131</v>
      </c>
      <c r="B78" s="135" t="str">
        <f>'ROSE 2026'!O7</f>
        <v>Mandas</v>
      </c>
      <c r="C78" s="135">
        <f>'ROSE 2026'!Q7</f>
        <v>2</v>
      </c>
      <c r="D78" s="125" t="s">
        <v>1125</v>
      </c>
    </row>
    <row r="79">
      <c r="A79" s="125" t="s">
        <v>1131</v>
      </c>
      <c r="B79" s="135" t="str">
        <f>'ROSE 2026'!O8</f>
        <v>Falcone</v>
      </c>
      <c r="C79" s="135">
        <f>'ROSE 2026'!Q8</f>
        <v>13</v>
      </c>
      <c r="D79" s="125" t="s">
        <v>1125</v>
      </c>
    </row>
    <row r="80">
      <c r="A80" s="125" t="s">
        <v>1131</v>
      </c>
      <c r="B80" s="135" t="str">
        <f>'ROSE 2026'!O9</f>
        <v>Buongiorno</v>
      </c>
      <c r="C80" s="135">
        <f>'ROSE 2026'!Q9</f>
        <v>27</v>
      </c>
      <c r="D80" s="125" t="s">
        <v>1126</v>
      </c>
    </row>
    <row r="81">
      <c r="A81" s="125" t="s">
        <v>1131</v>
      </c>
      <c r="B81" s="135" t="str">
        <f>'ROSE 2026'!O10</f>
        <v>Dodò</v>
      </c>
      <c r="C81" s="135">
        <f>'ROSE 2026'!Q10</f>
        <v>30</v>
      </c>
      <c r="D81" s="125" t="s">
        <v>1126</v>
      </c>
    </row>
    <row r="82">
      <c r="A82" s="125" t="s">
        <v>1131</v>
      </c>
      <c r="B82" s="135" t="str">
        <f>'ROSE 2026'!O11</f>
        <v>Rrahmani</v>
      </c>
      <c r="C82" s="135">
        <f>'ROSE 2026'!Q11</f>
        <v>21</v>
      </c>
      <c r="D82" s="125" t="s">
        <v>1126</v>
      </c>
    </row>
    <row r="83">
      <c r="A83" s="125" t="s">
        <v>1131</v>
      </c>
      <c r="B83" s="135" t="str">
        <f>'ROSE 2026'!O12</f>
        <v>Tavares N.</v>
      </c>
      <c r="C83" s="135">
        <f>'ROSE 2026'!Q12</f>
        <v>24</v>
      </c>
      <c r="D83" s="125" t="s">
        <v>1126</v>
      </c>
    </row>
    <row r="84">
      <c r="A84" s="125" t="s">
        <v>1131</v>
      </c>
      <c r="B84" s="135" t="str">
        <f>'ROSE 2026'!O13</f>
        <v>Canestrelli</v>
      </c>
      <c r="C84" s="135">
        <f>'ROSE 2026'!Q13</f>
        <v>4</v>
      </c>
      <c r="D84" s="125" t="s">
        <v>1126</v>
      </c>
    </row>
    <row r="85">
      <c r="A85" s="125" t="s">
        <v>1131</v>
      </c>
      <c r="B85" s="135" t="str">
        <f>'ROSE 2026'!O14</f>
        <v>Kossounou</v>
      </c>
      <c r="C85" s="135">
        <f>'ROSE 2026'!Q14</f>
        <v>1</v>
      </c>
      <c r="D85" s="125" t="s">
        <v>1126</v>
      </c>
    </row>
    <row r="86">
      <c r="A86" s="125" t="s">
        <v>1131</v>
      </c>
      <c r="B86" s="135" t="str">
        <f>'ROSE 2026'!O15</f>
        <v>Frese</v>
      </c>
      <c r="C86" s="135">
        <f>'ROSE 2026'!Q15</f>
        <v>1</v>
      </c>
      <c r="D86" s="125" t="s">
        <v>1126</v>
      </c>
    </row>
    <row r="87">
      <c r="A87" s="125" t="s">
        <v>1131</v>
      </c>
      <c r="B87" s="135" t="str">
        <f>'ROSE 2026'!O16</f>
        <v>Djimsiti</v>
      </c>
      <c r="C87" s="135">
        <f>'ROSE 2026'!Q16</f>
        <v>1</v>
      </c>
      <c r="D87" s="125" t="s">
        <v>1126</v>
      </c>
    </row>
    <row r="88">
      <c r="A88" s="125" t="s">
        <v>1131</v>
      </c>
      <c r="B88" s="135" t="str">
        <f>'ROSE 2026'!O17</f>
        <v>Pulisic</v>
      </c>
      <c r="C88" s="135">
        <f>'ROSE 2026'!Q17</f>
        <v>76</v>
      </c>
      <c r="D88" s="125" t="s">
        <v>1127</v>
      </c>
    </row>
    <row r="89">
      <c r="A89" s="125" t="s">
        <v>1131</v>
      </c>
      <c r="B89" s="135" t="str">
        <f>'ROSE 2026'!O18</f>
        <v>Gudmundsson A.</v>
      </c>
      <c r="C89" s="135">
        <f>'ROSE 2026'!Q18</f>
        <v>85</v>
      </c>
      <c r="D89" s="125" t="s">
        <v>1127</v>
      </c>
    </row>
    <row r="90">
      <c r="A90" s="125" t="s">
        <v>1131</v>
      </c>
      <c r="B90" s="135" t="str">
        <f>'ROSE 2026'!O19</f>
        <v>Tramoni M.</v>
      </c>
      <c r="C90" s="135">
        <f>'ROSE 2026'!Q19</f>
        <v>26</v>
      </c>
      <c r="D90" s="125" t="s">
        <v>1127</v>
      </c>
    </row>
    <row r="91">
      <c r="A91" s="125" t="s">
        <v>1131</v>
      </c>
      <c r="B91" s="135" t="str">
        <f>'ROSE 2026'!O20</f>
        <v>Oristanio</v>
      </c>
      <c r="C91" s="135">
        <f>'ROSE 2026'!Q20</f>
        <v>19</v>
      </c>
      <c r="D91" s="125" t="s">
        <v>1127</v>
      </c>
    </row>
    <row r="92">
      <c r="A92" s="125" t="s">
        <v>1131</v>
      </c>
      <c r="B92" s="135" t="str">
        <f>'ROSE 2026'!O21</f>
        <v>Baturina</v>
      </c>
      <c r="C92" s="135">
        <f>'ROSE 2026'!Q21</f>
        <v>3</v>
      </c>
      <c r="D92" s="125" t="s">
        <v>1127</v>
      </c>
    </row>
    <row r="93">
      <c r="A93" s="125" t="s">
        <v>1131</v>
      </c>
      <c r="B93" s="135" t="str">
        <f>'ROSE 2026'!O22</f>
        <v>Gronbaek</v>
      </c>
      <c r="C93" s="135">
        <f>'ROSE 2026'!Q22</f>
        <v>2</v>
      </c>
      <c r="D93" s="125" t="s">
        <v>1127</v>
      </c>
    </row>
    <row r="94">
      <c r="A94" s="125" t="s">
        <v>1131</v>
      </c>
      <c r="B94" s="135" t="str">
        <f>'ROSE 2026'!O23</f>
        <v>Fadera</v>
      </c>
      <c r="C94" s="135">
        <f>'ROSE 2026'!Q23</f>
        <v>1</v>
      </c>
      <c r="D94" s="125" t="s">
        <v>1127</v>
      </c>
    </row>
    <row r="95">
      <c r="A95" s="125" t="s">
        <v>1131</v>
      </c>
      <c r="B95" s="135" t="str">
        <f>'ROSE 2026'!O24</f>
        <v>Fazzini</v>
      </c>
      <c r="C95" s="135">
        <f>'ROSE 2026'!Q24</f>
        <v>3</v>
      </c>
      <c r="D95" s="125" t="s">
        <v>1127</v>
      </c>
    </row>
    <row r="96">
      <c r="A96" s="125" t="s">
        <v>1131</v>
      </c>
      <c r="B96" s="135" t="str">
        <f>'ROSE 2026'!O25</f>
        <v>Castellanos</v>
      </c>
      <c r="C96" s="135">
        <f>'ROSE 2026'!Q25</f>
        <v>101</v>
      </c>
      <c r="D96" s="125" t="s">
        <v>1128</v>
      </c>
    </row>
    <row r="97">
      <c r="A97" s="125" t="s">
        <v>1131</v>
      </c>
      <c r="B97" s="135" t="str">
        <f>'ROSE 2026'!O26</f>
        <v>Dia</v>
      </c>
      <c r="C97" s="135">
        <f>'ROSE 2026'!Q26</f>
        <v>11</v>
      </c>
      <c r="D97" s="125" t="s">
        <v>1128</v>
      </c>
    </row>
    <row r="98">
      <c r="A98" s="125" t="s">
        <v>1131</v>
      </c>
      <c r="B98" s="135" t="str">
        <f>'ROSE 2026'!O27</f>
        <v>Laurientè</v>
      </c>
      <c r="C98" s="135">
        <f>'ROSE 2026'!Q27</f>
        <v>16</v>
      </c>
      <c r="D98" s="125" t="s">
        <v>1128</v>
      </c>
    </row>
    <row r="99">
      <c r="A99" s="125" t="s">
        <v>1131</v>
      </c>
      <c r="B99" s="135" t="str">
        <f>'ROSE 2026'!O28</f>
        <v>Cambiaghi</v>
      </c>
      <c r="C99" s="135">
        <f>'ROSE 2026'!Q28</f>
        <v>1</v>
      </c>
      <c r="D99" s="125" t="s">
        <v>1128</v>
      </c>
    </row>
    <row r="100">
      <c r="A100" s="125" t="s">
        <v>1131</v>
      </c>
      <c r="B100" s="135" t="str">
        <f>'ROSE 2026'!O29</f>
        <v>Belotti</v>
      </c>
      <c r="C100" s="135">
        <f>'ROSE 2026'!Q29</f>
        <v>4</v>
      </c>
      <c r="D100" s="125" t="s">
        <v>1128</v>
      </c>
    </row>
    <row r="101">
      <c r="A101" s="125" t="s">
        <v>1131</v>
      </c>
      <c r="B101" s="135" t="str">
        <f>'ROSE 2026'!O30</f>
        <v>Stulic</v>
      </c>
      <c r="C101" s="135">
        <f>'ROSE 2026'!Q30</f>
        <v>1</v>
      </c>
      <c r="D101" s="125" t="s">
        <v>1128</v>
      </c>
    </row>
    <row r="102">
      <c r="A102" s="125" t="s">
        <v>1132</v>
      </c>
      <c r="B102" s="135" t="str">
        <f>'ROSE 2026'!S6</f>
        <v>Svilar</v>
      </c>
      <c r="C102" s="135">
        <f>'ROSE 2026'!U6</f>
        <v>52</v>
      </c>
      <c r="D102" s="125" t="s">
        <v>1125</v>
      </c>
    </row>
    <row r="103">
      <c r="A103" s="125" t="s">
        <v>1132</v>
      </c>
      <c r="B103" s="135" t="str">
        <f>'ROSE 2026'!S7</f>
        <v>Vasquez D.</v>
      </c>
      <c r="C103" s="135">
        <f>'ROSE 2026'!U7</f>
        <v>1</v>
      </c>
      <c r="D103" s="125" t="s">
        <v>1125</v>
      </c>
    </row>
    <row r="104">
      <c r="A104" s="125" t="s">
        <v>1132</v>
      </c>
      <c r="B104" s="135" t="str">
        <f>'ROSE 2026'!S8</f>
        <v>Gollini</v>
      </c>
      <c r="C104" s="135">
        <f>'ROSE 2026'!U8</f>
        <v>1</v>
      </c>
      <c r="D104" s="125" t="s">
        <v>1125</v>
      </c>
    </row>
    <row r="105">
      <c r="A105" s="125" t="s">
        <v>1132</v>
      </c>
      <c r="B105" s="135" t="str">
        <f>'ROSE 2026'!S9</f>
        <v>Estupinan</v>
      </c>
      <c r="C105" s="135">
        <f>'ROSE 2026'!U9</f>
        <v>9</v>
      </c>
      <c r="D105" s="125" t="s">
        <v>1126</v>
      </c>
    </row>
    <row r="106">
      <c r="A106" s="125" t="s">
        <v>1132</v>
      </c>
      <c r="B106" s="135" t="str">
        <f>'ROSE 2026'!S10</f>
        <v>N'Dicka</v>
      </c>
      <c r="C106" s="135">
        <f>'ROSE 2026'!U10</f>
        <v>15</v>
      </c>
      <c r="D106" s="125" t="s">
        <v>1126</v>
      </c>
    </row>
    <row r="107">
      <c r="A107" s="125" t="s">
        <v>1132</v>
      </c>
      <c r="B107" s="135" t="str">
        <f>'ROSE 2026'!S11</f>
        <v>Baschirotto</v>
      </c>
      <c r="C107" s="135">
        <f>'ROSE 2026'!U11</f>
        <v>10</v>
      </c>
      <c r="D107" s="125" t="s">
        <v>1126</v>
      </c>
    </row>
    <row r="108">
      <c r="A108" s="125" t="s">
        <v>1132</v>
      </c>
      <c r="B108" s="135" t="str">
        <f>'ROSE 2026'!S12</f>
        <v>Vojvoda</v>
      </c>
      <c r="C108" s="135">
        <f>'ROSE 2026'!U12</f>
        <v>9</v>
      </c>
      <c r="D108" s="125" t="s">
        <v>1126</v>
      </c>
    </row>
    <row r="109">
      <c r="A109" s="125" t="s">
        <v>1132</v>
      </c>
      <c r="B109" s="135" t="str">
        <f>'ROSE 2026'!S13</f>
        <v>Ramon</v>
      </c>
      <c r="C109" s="135">
        <f>'ROSE 2026'!U13</f>
        <v>15</v>
      </c>
      <c r="D109" s="125" t="s">
        <v>1126</v>
      </c>
    </row>
    <row r="110">
      <c r="A110" s="125" t="s">
        <v>1132</v>
      </c>
      <c r="B110" s="135" t="str">
        <f>'ROSE 2026'!S14</f>
        <v>Mina</v>
      </c>
      <c r="C110" s="135">
        <f>'ROSE 2026'!U14</f>
        <v>4</v>
      </c>
      <c r="D110" s="125" t="s">
        <v>1126</v>
      </c>
    </row>
    <row r="111">
      <c r="A111" s="125" t="s">
        <v>1132</v>
      </c>
      <c r="B111" s="135" t="str">
        <f>'ROSE 2026'!S15</f>
        <v>Gaspar K.</v>
      </c>
      <c r="C111" s="135">
        <f>'ROSE 2026'!U15</f>
        <v>3</v>
      </c>
      <c r="D111" s="125" t="s">
        <v>1126</v>
      </c>
    </row>
    <row r="112">
      <c r="A112" s="125" t="s">
        <v>1132</v>
      </c>
      <c r="B112" s="135" t="str">
        <f>'ROSE 2026'!S16</f>
        <v>Heggem</v>
      </c>
      <c r="C112" s="135">
        <f>'ROSE 2026'!U16</f>
        <v>1</v>
      </c>
      <c r="D112" s="125" t="s">
        <v>1126</v>
      </c>
    </row>
    <row r="113">
      <c r="A113" s="125" t="s">
        <v>1132</v>
      </c>
      <c r="B113" s="135" t="str">
        <f>'ROSE 2026'!S17</f>
        <v>Modric</v>
      </c>
      <c r="C113" s="135">
        <f>'ROSE 2026'!U17</f>
        <v>30</v>
      </c>
      <c r="D113" s="125" t="s">
        <v>1127</v>
      </c>
    </row>
    <row r="114">
      <c r="A114" s="125" t="s">
        <v>1132</v>
      </c>
      <c r="B114" s="135" t="str">
        <f>'ROSE 2026'!S18</f>
        <v>Thuram K.</v>
      </c>
      <c r="C114" s="135">
        <f>'ROSE 2026'!U18</f>
        <v>30</v>
      </c>
      <c r="D114" s="125" t="s">
        <v>1127</v>
      </c>
    </row>
    <row r="115">
      <c r="A115" s="125" t="s">
        <v>1132</v>
      </c>
      <c r="B115" s="135" t="str">
        <f>'ROSE 2026'!S19</f>
        <v>Saelemaekers</v>
      </c>
      <c r="C115" s="135">
        <f>'ROSE 2026'!U19</f>
        <v>22</v>
      </c>
      <c r="D115" s="125" t="s">
        <v>1127</v>
      </c>
    </row>
    <row r="116">
      <c r="A116" s="125" t="s">
        <v>1132</v>
      </c>
      <c r="B116" s="135" t="str">
        <f>'ROSE 2026'!S20</f>
        <v>Zerbin</v>
      </c>
      <c r="C116" s="135">
        <f>'ROSE 2026'!U20</f>
        <v>5</v>
      </c>
      <c r="D116" s="125" t="s">
        <v>1127</v>
      </c>
    </row>
    <row r="117">
      <c r="A117" s="125" t="s">
        <v>1132</v>
      </c>
      <c r="B117" s="135" t="str">
        <f>'ROSE 2026'!S21</f>
        <v>Gaetano</v>
      </c>
      <c r="C117" s="135">
        <f>'ROSE 2026'!U21</f>
        <v>2</v>
      </c>
      <c r="D117" s="125" t="s">
        <v>1127</v>
      </c>
    </row>
    <row r="118">
      <c r="A118" s="125" t="s">
        <v>1132</v>
      </c>
      <c r="B118" s="135" t="str">
        <f>'ROSE 2026'!S22</f>
        <v>Ekkelenkamp</v>
      </c>
      <c r="C118" s="135">
        <f>'ROSE 2026'!U22</f>
        <v>1</v>
      </c>
      <c r="D118" s="125" t="s">
        <v>1127</v>
      </c>
    </row>
    <row r="119">
      <c r="A119" s="125" t="s">
        <v>1132</v>
      </c>
      <c r="B119" s="135" t="str">
        <f>'ROSE 2026'!S23</f>
        <v>El Shaarawy</v>
      </c>
      <c r="C119" s="135">
        <f>'ROSE 2026'!U23</f>
        <v>1</v>
      </c>
      <c r="D119" s="125" t="s">
        <v>1127</v>
      </c>
    </row>
    <row r="120">
      <c r="A120" s="125" t="s">
        <v>1132</v>
      </c>
      <c r="B120" s="135" t="str">
        <f>'ROSE 2026'!S24</f>
        <v>El Aynaoui</v>
      </c>
      <c r="C120" s="135">
        <f>'ROSE 2026'!U24</f>
        <v>1</v>
      </c>
      <c r="D120" s="125" t="s">
        <v>1127</v>
      </c>
    </row>
    <row r="121">
      <c r="A121" s="125" t="s">
        <v>1132</v>
      </c>
      <c r="B121" s="135" t="str">
        <f>'ROSE 2026'!S25</f>
        <v>Yildiz</v>
      </c>
      <c r="C121" s="135">
        <f>'ROSE 2026'!U25</f>
        <v>116</v>
      </c>
      <c r="D121" s="125" t="s">
        <v>1128</v>
      </c>
    </row>
    <row r="122">
      <c r="A122" s="125" t="s">
        <v>1132</v>
      </c>
      <c r="B122" s="135" t="str">
        <f>'ROSE 2026'!S26</f>
        <v>Soulè</v>
      </c>
      <c r="C122" s="135">
        <f>'ROSE 2026'!U26</f>
        <v>130</v>
      </c>
      <c r="D122" s="125" t="s">
        <v>1128</v>
      </c>
    </row>
    <row r="123">
      <c r="A123" s="125" t="s">
        <v>1132</v>
      </c>
      <c r="B123" s="135" t="str">
        <f>'ROSE 2026'!S27</f>
        <v>Scamacca</v>
      </c>
      <c r="C123" s="135">
        <f>'ROSE 2026'!U27</f>
        <v>30</v>
      </c>
      <c r="D123" s="125" t="s">
        <v>1128</v>
      </c>
    </row>
    <row r="124">
      <c r="A124" s="125" t="s">
        <v>1132</v>
      </c>
      <c r="B124" s="135" t="str">
        <f>'ROSE 2026'!S28</f>
        <v>Giovane</v>
      </c>
      <c r="C124" s="135">
        <f>'ROSE 2026'!U28</f>
        <v>3</v>
      </c>
      <c r="D124" s="125" t="s">
        <v>1128</v>
      </c>
    </row>
    <row r="125">
      <c r="A125" s="125" t="s">
        <v>1132</v>
      </c>
      <c r="B125" s="135" t="str">
        <f>'ROSE 2026'!S29</f>
        <v>Colombo</v>
      </c>
      <c r="C125" s="135">
        <f>'ROSE 2026'!U29</f>
        <v>6</v>
      </c>
      <c r="D125" s="125" t="s">
        <v>1128</v>
      </c>
    </row>
    <row r="126">
      <c r="A126" s="125" t="s">
        <v>1132</v>
      </c>
      <c r="B126" s="135" t="str">
        <f>'ROSE 2026'!S30</f>
        <v>Pedro</v>
      </c>
      <c r="C126" s="135">
        <f>'ROSE 2026'!U30</f>
        <v>1</v>
      </c>
      <c r="D126" s="125" t="s">
        <v>1128</v>
      </c>
    </row>
    <row r="127">
      <c r="A127" s="125" t="s">
        <v>1133</v>
      </c>
      <c r="B127" s="135" t="str">
        <f>'ROSE 2026'!C41</f>
        <v>De Gea</v>
      </c>
      <c r="C127" s="135">
        <f>'ROSE 2026'!E41</f>
        <v>40</v>
      </c>
      <c r="D127" s="125" t="s">
        <v>1125</v>
      </c>
    </row>
    <row r="128">
      <c r="A128" s="125" t="s">
        <v>1133</v>
      </c>
      <c r="B128" s="135" t="str">
        <f>'ROSE 2026'!C42</f>
        <v>Butez</v>
      </c>
      <c r="C128" s="135">
        <f>'ROSE 2026'!E42</f>
        <v>17</v>
      </c>
      <c r="D128" s="125" t="s">
        <v>1125</v>
      </c>
    </row>
    <row r="129">
      <c r="A129" s="125" t="s">
        <v>1133</v>
      </c>
      <c r="B129" s="135" t="str">
        <f>'ROSE 2026'!C43</f>
        <v>Martinelli T.</v>
      </c>
      <c r="C129" s="135">
        <f>'ROSE 2026'!E43</f>
        <v>1</v>
      </c>
      <c r="D129" s="125" t="s">
        <v>1125</v>
      </c>
    </row>
    <row r="130">
      <c r="A130" s="125" t="s">
        <v>1133</v>
      </c>
      <c r="B130" s="135" t="str">
        <f>'ROSE 2026'!C44</f>
        <v>Bremer</v>
      </c>
      <c r="C130" s="135">
        <f>'ROSE 2026'!E44</f>
        <v>38</v>
      </c>
      <c r="D130" s="125" t="s">
        <v>1126</v>
      </c>
    </row>
    <row r="131">
      <c r="A131" s="125" t="s">
        <v>1133</v>
      </c>
      <c r="B131" s="135" t="str">
        <f>'ROSE 2026'!C45</f>
        <v>Angelino</v>
      </c>
      <c r="C131" s="135">
        <f>'ROSE 2026'!E45</f>
        <v>30</v>
      </c>
      <c r="D131" s="125" t="s">
        <v>1126</v>
      </c>
    </row>
    <row r="132">
      <c r="A132" s="125" t="s">
        <v>1133</v>
      </c>
      <c r="B132" s="135" t="str">
        <f>'ROSE 2026'!C46</f>
        <v>Romagnoli</v>
      </c>
      <c r="C132" s="135">
        <f>'ROSE 2026'!E46</f>
        <v>1</v>
      </c>
      <c r="D132" s="125" t="s">
        <v>1126</v>
      </c>
    </row>
    <row r="133">
      <c r="A133" s="125" t="s">
        <v>1133</v>
      </c>
      <c r="B133" s="135" t="str">
        <f>'ROSE 2026'!C47</f>
        <v>Pongracic</v>
      </c>
      <c r="C133" s="135">
        <f>'ROSE 2026'!E47</f>
        <v>1</v>
      </c>
      <c r="D133" s="125" t="s">
        <v>1126</v>
      </c>
    </row>
    <row r="134">
      <c r="A134" s="125" t="s">
        <v>1133</v>
      </c>
      <c r="B134" s="135" t="str">
        <f>'ROSE 2026'!C48</f>
        <v>Valle</v>
      </c>
      <c r="C134" s="135">
        <f>'ROSE 2026'!E48</f>
        <v>8</v>
      </c>
      <c r="D134" s="125" t="s">
        <v>1126</v>
      </c>
    </row>
    <row r="135">
      <c r="A135" s="125" t="s">
        <v>1133</v>
      </c>
      <c r="B135" s="135" t="str">
        <f>'ROSE 2026'!C49</f>
        <v>Joao Mario</v>
      </c>
      <c r="C135" s="135">
        <f>'ROSE 2026'!E49</f>
        <v>6</v>
      </c>
      <c r="D135" s="125" t="s">
        <v>1126</v>
      </c>
    </row>
    <row r="136">
      <c r="A136" s="125" t="s">
        <v>1133</v>
      </c>
      <c r="B136" s="135" t="str">
        <f>'ROSE 2026'!C50</f>
        <v>Norton-Cuffy</v>
      </c>
      <c r="C136" s="135">
        <f>'ROSE 2026'!E50</f>
        <v>1</v>
      </c>
      <c r="D136" s="125" t="s">
        <v>1126</v>
      </c>
    </row>
    <row r="137">
      <c r="A137" s="125" t="s">
        <v>1133</v>
      </c>
      <c r="B137" s="135" t="str">
        <f>'ROSE 2026'!C51</f>
        <v>Spinazzola</v>
      </c>
      <c r="C137" s="135">
        <f>'ROSE 2026'!E51</f>
        <v>1</v>
      </c>
      <c r="D137" s="125" t="s">
        <v>1126</v>
      </c>
    </row>
    <row r="138">
      <c r="A138" s="125" t="s">
        <v>1133</v>
      </c>
      <c r="B138" s="135" t="str">
        <f>'ROSE 2026'!C52</f>
        <v>Serdar</v>
      </c>
      <c r="C138" s="135">
        <f>'ROSE 2026'!E52</f>
        <v>1</v>
      </c>
      <c r="D138" s="125" t="s">
        <v>1127</v>
      </c>
    </row>
    <row r="139">
      <c r="A139" s="125" t="s">
        <v>1133</v>
      </c>
      <c r="B139" s="135" t="str">
        <f>'ROSE 2026'!C53</f>
        <v>Ederson D.S.</v>
      </c>
      <c r="C139" s="135">
        <f>'ROSE 2026'!E53</f>
        <v>20</v>
      </c>
      <c r="D139" s="125" t="s">
        <v>1127</v>
      </c>
    </row>
    <row r="140">
      <c r="A140" s="125" t="s">
        <v>1133</v>
      </c>
      <c r="B140" s="135" t="str">
        <f>'ROSE 2026'!C54</f>
        <v>Konè M.</v>
      </c>
      <c r="C140" s="135">
        <f>'ROSE 2026'!E54</f>
        <v>31</v>
      </c>
      <c r="D140" s="125" t="s">
        <v>1127</v>
      </c>
    </row>
    <row r="141">
      <c r="A141" s="125" t="s">
        <v>1133</v>
      </c>
      <c r="B141" s="135" t="str">
        <f>'ROSE 2026'!C55</f>
        <v>Rovella</v>
      </c>
      <c r="C141" s="135">
        <f>'ROSE 2026'!E55</f>
        <v>5</v>
      </c>
      <c r="D141" s="125" t="s">
        <v>1127</v>
      </c>
    </row>
    <row r="142">
      <c r="A142" s="125" t="s">
        <v>1133</v>
      </c>
      <c r="B142" s="135" t="str">
        <f>'ROSE 2026'!C56</f>
        <v>Casadei</v>
      </c>
      <c r="C142" s="135">
        <f>'ROSE 2026'!E56</f>
        <v>9</v>
      </c>
      <c r="D142" s="125" t="s">
        <v>1127</v>
      </c>
    </row>
    <row r="143">
      <c r="A143" s="125" t="s">
        <v>1133</v>
      </c>
      <c r="B143" s="135" t="str">
        <f>'ROSE 2026'!C57</f>
        <v>Perrone</v>
      </c>
      <c r="C143" s="135">
        <f>'ROSE 2026'!E57</f>
        <v>1</v>
      </c>
      <c r="D143" s="125" t="s">
        <v>1127</v>
      </c>
    </row>
    <row r="144">
      <c r="A144" s="125" t="s">
        <v>1133</v>
      </c>
      <c r="B144" s="135" t="str">
        <f>'ROSE 2026'!C58</f>
        <v>Stengs</v>
      </c>
      <c r="C144" s="135">
        <f>'ROSE 2026'!E58</f>
        <v>1</v>
      </c>
      <c r="D144" s="125" t="s">
        <v>1127</v>
      </c>
    </row>
    <row r="145">
      <c r="A145" s="125" t="s">
        <v>1133</v>
      </c>
      <c r="B145" s="135" t="str">
        <f>'ROSE 2026'!C59</f>
        <v>Bailey</v>
      </c>
      <c r="C145" s="135">
        <f>'ROSE 2026'!E59</f>
        <v>6</v>
      </c>
      <c r="D145" s="125" t="s">
        <v>1127</v>
      </c>
    </row>
    <row r="146">
      <c r="A146" s="125" t="s">
        <v>1133</v>
      </c>
      <c r="B146" s="135" t="str">
        <f>'ROSE 2026'!C60</f>
        <v>Martinez L.</v>
      </c>
      <c r="C146" s="135">
        <f>'ROSE 2026'!E60</f>
        <v>180</v>
      </c>
      <c r="D146" s="125" t="s">
        <v>1128</v>
      </c>
    </row>
    <row r="147">
      <c r="A147" s="125" t="s">
        <v>1133</v>
      </c>
      <c r="B147" s="135" t="str">
        <f>'ROSE 2026'!C61</f>
        <v>Ferguson E.</v>
      </c>
      <c r="C147" s="135">
        <f>'ROSE 2026'!E61</f>
        <v>80</v>
      </c>
      <c r="D147" s="125" t="s">
        <v>1128</v>
      </c>
    </row>
    <row r="148">
      <c r="A148" s="125" t="s">
        <v>1133</v>
      </c>
      <c r="B148" s="135" t="str">
        <f>'ROSE 2026'!C62</f>
        <v>Douvikas</v>
      </c>
      <c r="C148" s="135">
        <f>'ROSE 2026'!E62</f>
        <v>4</v>
      </c>
      <c r="D148" s="125" t="s">
        <v>1128</v>
      </c>
    </row>
    <row r="149">
      <c r="A149" s="125" t="s">
        <v>1133</v>
      </c>
      <c r="B149" s="135" t="str">
        <f>'ROSE 2026'!C63</f>
        <v>Sanabria</v>
      </c>
      <c r="C149" s="135">
        <f>'ROSE 2026'!E63</f>
        <v>1</v>
      </c>
      <c r="D149" s="125" t="s">
        <v>1128</v>
      </c>
    </row>
    <row r="150">
      <c r="A150" s="125" t="s">
        <v>1133</v>
      </c>
      <c r="B150" s="135" t="str">
        <f>'ROSE 2026'!C64</f>
        <v>Cancellieri</v>
      </c>
      <c r="C150" s="135">
        <f>'ROSE 2026'!E64</f>
        <v>1</v>
      </c>
      <c r="D150" s="125" t="s">
        <v>1128</v>
      </c>
    </row>
    <row r="151">
      <c r="A151" s="125" t="s">
        <v>1133</v>
      </c>
      <c r="B151" s="135" t="str">
        <f>'ROSE 2026'!C65</f>
        <v>Esposito F.P.</v>
      </c>
      <c r="C151" s="135">
        <f>'ROSE 2026'!E65</f>
        <v>1</v>
      </c>
      <c r="D151" s="125" t="s">
        <v>1128</v>
      </c>
    </row>
    <row r="152">
      <c r="A152" s="125" t="s">
        <v>1134</v>
      </c>
      <c r="B152" s="135" t="str">
        <f>'ROSE 2026'!G41</f>
        <v>Sommer</v>
      </c>
      <c r="C152" s="135">
        <f>'ROSE 2026'!I41</f>
        <v>51</v>
      </c>
      <c r="D152" s="125" t="s">
        <v>1125</v>
      </c>
    </row>
    <row r="153">
      <c r="A153" s="125" t="s">
        <v>1134</v>
      </c>
      <c r="B153" s="135" t="str">
        <f>'ROSE 2026'!G42</f>
        <v>Martinez Jo.</v>
      </c>
      <c r="C153" s="135">
        <f>'ROSE 2026'!I42</f>
        <v>1</v>
      </c>
      <c r="D153" s="125" t="s">
        <v>1125</v>
      </c>
    </row>
    <row r="154">
      <c r="A154" s="125" t="s">
        <v>1134</v>
      </c>
      <c r="B154" s="135" t="str">
        <f>'ROSE 2026'!G43</f>
        <v>Sava</v>
      </c>
      <c r="C154" s="135">
        <f>'ROSE 2026'!I43</f>
        <v>1</v>
      </c>
      <c r="D154" s="125" t="s">
        <v>1125</v>
      </c>
    </row>
    <row r="155">
      <c r="A155" s="125" t="s">
        <v>1134</v>
      </c>
      <c r="B155" s="135" t="str">
        <f>'ROSE 2026'!G44</f>
        <v>Dimarco</v>
      </c>
      <c r="C155" s="135">
        <f>'ROSE 2026'!I44</f>
        <v>47</v>
      </c>
      <c r="D155" s="125" t="s">
        <v>1126</v>
      </c>
    </row>
    <row r="156">
      <c r="A156" s="125" t="s">
        <v>1134</v>
      </c>
      <c r="B156" s="135" t="str">
        <f>'ROSE 2026'!G45</f>
        <v>Dumfries</v>
      </c>
      <c r="C156" s="135">
        <f>'ROSE 2026'!I45</f>
        <v>44</v>
      </c>
      <c r="D156" s="125" t="s">
        <v>1126</v>
      </c>
    </row>
    <row r="157">
      <c r="A157" s="125" t="s">
        <v>1134</v>
      </c>
      <c r="B157" s="135" t="str">
        <f>'ROSE 2026'!G46</f>
        <v>Di Lorenzo</v>
      </c>
      <c r="C157" s="135">
        <f>'ROSE 2026'!I46</f>
        <v>35</v>
      </c>
      <c r="D157" s="125" t="s">
        <v>1126</v>
      </c>
    </row>
    <row r="158">
      <c r="A158" s="125" t="s">
        <v>1134</v>
      </c>
      <c r="B158" s="135" t="str">
        <f>'ROSE 2026'!G47</f>
        <v>Vitik</v>
      </c>
      <c r="C158" s="135">
        <f>'ROSE 2026'!I47</f>
        <v>4</v>
      </c>
      <c r="D158" s="125" t="s">
        <v>1126</v>
      </c>
    </row>
    <row r="159">
      <c r="A159" s="125" t="s">
        <v>1134</v>
      </c>
      <c r="B159" s="135" t="str">
        <f>'ROSE 2026'!G48</f>
        <v>Coco</v>
      </c>
      <c r="C159" s="135">
        <f>'ROSE 2026'!I48</f>
        <v>1</v>
      </c>
      <c r="D159" s="125" t="s">
        <v>1126</v>
      </c>
    </row>
    <row r="160">
      <c r="A160" s="125" t="s">
        <v>1134</v>
      </c>
      <c r="B160" s="135" t="str">
        <f>'ROSE 2026'!G49</f>
        <v>Zappa</v>
      </c>
      <c r="C160" s="135">
        <f>'ROSE 2026'!I49</f>
        <v>1</v>
      </c>
      <c r="D160" s="125" t="s">
        <v>1126</v>
      </c>
    </row>
    <row r="161">
      <c r="A161" s="125" t="s">
        <v>1134</v>
      </c>
      <c r="B161" s="135" t="str">
        <f>'ROSE 2026'!G50</f>
        <v>Idzes</v>
      </c>
      <c r="C161" s="135">
        <f>'ROSE 2026'!I50</f>
        <v>1</v>
      </c>
      <c r="D161" s="125" t="s">
        <v>1126</v>
      </c>
    </row>
    <row r="162">
      <c r="A162" s="125" t="s">
        <v>1134</v>
      </c>
      <c r="B162" s="135" t="str">
        <f>'ROSE 2026'!G51</f>
        <v>Lazaro</v>
      </c>
      <c r="C162" s="135">
        <f>'ROSE 2026'!I51</f>
        <v>1</v>
      </c>
      <c r="D162" s="125" t="s">
        <v>1126</v>
      </c>
    </row>
    <row r="163">
      <c r="A163" s="125" t="s">
        <v>1134</v>
      </c>
      <c r="B163" s="135" t="str">
        <f>'ROSE 2026'!G52</f>
        <v>Barella</v>
      </c>
      <c r="C163" s="135">
        <f>'ROSE 2026'!I52</f>
        <v>36</v>
      </c>
      <c r="D163" s="125" t="s">
        <v>1127</v>
      </c>
    </row>
    <row r="164">
      <c r="A164" s="125" t="s">
        <v>1134</v>
      </c>
      <c r="B164" s="135" t="str">
        <f>'ROSE 2026'!G53</f>
        <v>McTominay</v>
      </c>
      <c r="C164" s="135">
        <f>'ROSE 2026'!I53</f>
        <v>90</v>
      </c>
      <c r="D164" s="125" t="s">
        <v>1127</v>
      </c>
    </row>
    <row r="165">
      <c r="A165" s="125" t="s">
        <v>1134</v>
      </c>
      <c r="B165" s="135" t="str">
        <f>'ROSE 2026'!G54</f>
        <v>Atta</v>
      </c>
      <c r="C165" s="135">
        <f>'ROSE 2026'!I54</f>
        <v>25</v>
      </c>
      <c r="D165" s="125" t="s">
        <v>1127</v>
      </c>
    </row>
    <row r="166">
      <c r="A166" s="125" t="s">
        <v>1134</v>
      </c>
      <c r="B166" s="135" t="str">
        <f>'ROSE 2026'!G55</f>
        <v>Pierotti</v>
      </c>
      <c r="C166" s="135">
        <f>'ROSE 2026'!I55</f>
        <v>2</v>
      </c>
      <c r="D166" s="125" t="s">
        <v>1127</v>
      </c>
    </row>
    <row r="167">
      <c r="A167" s="125" t="s">
        <v>1134</v>
      </c>
      <c r="B167" s="135" t="str">
        <f>'ROSE 2026'!G56</f>
        <v>Ellertsson</v>
      </c>
      <c r="C167" s="135">
        <f>'ROSE 2026'!I56</f>
        <v>1</v>
      </c>
      <c r="D167" s="125" t="s">
        <v>1127</v>
      </c>
    </row>
    <row r="168">
      <c r="A168" s="125" t="s">
        <v>1134</v>
      </c>
      <c r="B168" s="135" t="str">
        <f>'ROSE 2026'!G57</f>
        <v>Collocolo</v>
      </c>
      <c r="C168" s="135">
        <f>'ROSE 2026'!I57</f>
        <v>3</v>
      </c>
      <c r="D168" s="125" t="s">
        <v>1127</v>
      </c>
    </row>
    <row r="169">
      <c r="A169" s="125" t="s">
        <v>1134</v>
      </c>
      <c r="B169" s="135" t="str">
        <f>'ROSE 2026'!G58</f>
        <v>Freuler</v>
      </c>
      <c r="C169" s="135">
        <f>'ROSE 2026'!I58</f>
        <v>3</v>
      </c>
      <c r="D169" s="125" t="s">
        <v>1127</v>
      </c>
    </row>
    <row r="170">
      <c r="A170" s="125" t="s">
        <v>1134</v>
      </c>
      <c r="B170" s="135" t="str">
        <f>'ROSE 2026'!G59</f>
        <v>Samardzic</v>
      </c>
      <c r="C170" s="135">
        <f>'ROSE 2026'!I59</f>
        <v>4</v>
      </c>
      <c r="D170" s="125" t="s">
        <v>1127</v>
      </c>
    </row>
    <row r="171">
      <c r="A171" s="125" t="s">
        <v>1134</v>
      </c>
      <c r="B171" s="135" t="str">
        <f>'ROSE 2026'!G60</f>
        <v>Krstovic</v>
      </c>
      <c r="C171" s="135">
        <f>'ROSE 2026'!I60</f>
        <v>71</v>
      </c>
      <c r="D171" s="125" t="s">
        <v>1128</v>
      </c>
    </row>
    <row r="172">
      <c r="A172" s="125" t="s">
        <v>1134</v>
      </c>
      <c r="B172" s="135" t="str">
        <f>'ROSE 2026'!G61</f>
        <v>Pinamonti</v>
      </c>
      <c r="C172" s="135">
        <f>'ROSE 2026'!I61</f>
        <v>30</v>
      </c>
      <c r="D172" s="125" t="s">
        <v>1128</v>
      </c>
    </row>
    <row r="173">
      <c r="A173" s="125" t="s">
        <v>1134</v>
      </c>
      <c r="B173" s="135" t="str">
        <f>'ROSE 2026'!G62</f>
        <v>Pellegrino M.</v>
      </c>
      <c r="C173" s="135">
        <f>'ROSE 2026'!I62</f>
        <v>42</v>
      </c>
      <c r="D173" s="125" t="s">
        <v>1128</v>
      </c>
    </row>
    <row r="174">
      <c r="A174" s="125" t="s">
        <v>1134</v>
      </c>
      <c r="B174" s="135" t="str">
        <f>'ROSE 2026'!G63</f>
        <v>Sarr A.</v>
      </c>
      <c r="C174" s="135">
        <f>'ROSE 2026'!I63</f>
        <v>4</v>
      </c>
      <c r="D174" s="125" t="s">
        <v>1128</v>
      </c>
    </row>
    <row r="175">
      <c r="A175" s="125" t="s">
        <v>1134</v>
      </c>
      <c r="B175" s="135" t="str">
        <f>'ROSE 2026'!G64</f>
        <v>Kuhn</v>
      </c>
      <c r="C175" s="135">
        <f>'ROSE 2026'!I64</f>
        <v>1</v>
      </c>
      <c r="D175" s="125" t="s">
        <v>1128</v>
      </c>
    </row>
    <row r="176">
      <c r="A176" s="125" t="s">
        <v>1134</v>
      </c>
      <c r="B176" s="135" t="str">
        <f>'ROSE 2026'!G65</f>
        <v>Bravo</v>
      </c>
      <c r="C176" s="135">
        <f>'ROSE 2026'!I65</f>
        <v>1</v>
      </c>
      <c r="D176" s="125" t="s">
        <v>1128</v>
      </c>
    </row>
    <row r="177">
      <c r="A177" s="125" t="s">
        <v>1135</v>
      </c>
      <c r="B177" s="135" t="str">
        <f>'ROSE 2026'!K41</f>
        <v>Milinkovic-Savic V.</v>
      </c>
      <c r="C177" s="135">
        <f>'ROSE 2026'!M41</f>
        <v>15</v>
      </c>
      <c r="D177" s="125" t="s">
        <v>1125</v>
      </c>
    </row>
    <row r="178">
      <c r="A178" s="125" t="s">
        <v>1135</v>
      </c>
      <c r="B178" s="135" t="str">
        <f>'ROSE 2026'!K42</f>
        <v>Skorupski</v>
      </c>
      <c r="C178" s="135">
        <f>'ROSE 2026'!M42</f>
        <v>16</v>
      </c>
      <c r="D178" s="125" t="s">
        <v>1125</v>
      </c>
    </row>
    <row r="179">
      <c r="A179" s="125" t="s">
        <v>1135</v>
      </c>
      <c r="B179" s="135" t="str">
        <f>'ROSE 2026'!K43</f>
        <v>Ravaglia F.</v>
      </c>
      <c r="C179" s="135">
        <f>'ROSE 2026'!M43</f>
        <v>1</v>
      </c>
      <c r="D179" s="125" t="s">
        <v>1125</v>
      </c>
    </row>
    <row r="180">
      <c r="A180" s="125" t="s">
        <v>1135</v>
      </c>
      <c r="B180" s="135" t="str">
        <f>'ROSE 2026'!K44</f>
        <v>Akanji</v>
      </c>
      <c r="C180" s="135">
        <f>'ROSE 2026'!M44</f>
        <v>17</v>
      </c>
      <c r="D180" s="125" t="s">
        <v>1126</v>
      </c>
    </row>
    <row r="181">
      <c r="A181" s="125" t="s">
        <v>1135</v>
      </c>
      <c r="B181" s="135" t="str">
        <f>'ROSE 2026'!K45</f>
        <v>Angori</v>
      </c>
      <c r="C181" s="135">
        <f>'ROSE 2026'!M45</f>
        <v>6</v>
      </c>
      <c r="D181" s="125" t="s">
        <v>1126</v>
      </c>
    </row>
    <row r="182">
      <c r="A182" s="125" t="s">
        <v>1135</v>
      </c>
      <c r="B182" s="135" t="str">
        <f>'ROSE 2026'!K46</f>
        <v>Scalvini</v>
      </c>
      <c r="C182" s="135">
        <f>'ROSE 2026'!M46</f>
        <v>9</v>
      </c>
      <c r="D182" s="125" t="s">
        <v>1126</v>
      </c>
    </row>
    <row r="183">
      <c r="A183" s="125" t="s">
        <v>1135</v>
      </c>
      <c r="B183" s="135" t="str">
        <f>'ROSE 2026'!K47</f>
        <v>Kalulu</v>
      </c>
      <c r="C183" s="135">
        <f>'ROSE 2026'!M47</f>
        <v>10</v>
      </c>
      <c r="D183" s="125" t="s">
        <v>1126</v>
      </c>
    </row>
    <row r="184">
      <c r="A184" s="125" t="s">
        <v>1135</v>
      </c>
      <c r="B184" s="135" t="str">
        <f>'ROSE 2026'!K48</f>
        <v>Biraghi</v>
      </c>
      <c r="C184" s="135">
        <f>'ROSE 2026'!M48</f>
        <v>9</v>
      </c>
      <c r="D184" s="125" t="s">
        <v>1126</v>
      </c>
    </row>
    <row r="185">
      <c r="A185" s="125" t="s">
        <v>1135</v>
      </c>
      <c r="B185" s="135" t="str">
        <f>'ROSE 2026'!K49</f>
        <v>Luperto</v>
      </c>
      <c r="C185" s="135">
        <f>'ROSE 2026'!M49</f>
        <v>10</v>
      </c>
      <c r="D185" s="125" t="s">
        <v>1126</v>
      </c>
    </row>
    <row r="186">
      <c r="A186" s="125" t="s">
        <v>1135</v>
      </c>
      <c r="B186" s="135" t="str">
        <f>'ROSE 2026'!K50</f>
        <v>Beukema</v>
      </c>
      <c r="C186" s="135">
        <f>'ROSE 2026'!M50</f>
        <v>3</v>
      </c>
      <c r="D186" s="125" t="s">
        <v>1126</v>
      </c>
    </row>
    <row r="187">
      <c r="A187" s="125" t="s">
        <v>1135</v>
      </c>
      <c r="B187" s="135" t="str">
        <f>'ROSE 2026'!K51</f>
        <v>Bisseck</v>
      </c>
      <c r="C187" s="135">
        <f>'ROSE 2026'!M51</f>
        <v>3</v>
      </c>
      <c r="D187" s="125" t="s">
        <v>1126</v>
      </c>
    </row>
    <row r="188">
      <c r="A188" s="125" t="s">
        <v>1135</v>
      </c>
      <c r="B188" s="135" t="str">
        <f>'ROSE 2026'!K52</f>
        <v>De Bruyne</v>
      </c>
      <c r="C188" s="135">
        <f>'ROSE 2026'!M52</f>
        <v>81</v>
      </c>
      <c r="D188" s="125" t="s">
        <v>1127</v>
      </c>
    </row>
    <row r="189">
      <c r="A189" s="125" t="s">
        <v>1135</v>
      </c>
      <c r="B189" s="135" t="str">
        <f>'ROSE 2026'!K53</f>
        <v>Guendouzi</v>
      </c>
      <c r="C189" s="135">
        <f>'ROSE 2026'!M53</f>
        <v>7</v>
      </c>
      <c r="D189" s="125" t="s">
        <v>1127</v>
      </c>
    </row>
    <row r="190">
      <c r="A190" s="125" t="s">
        <v>1135</v>
      </c>
      <c r="B190" s="135" t="str">
        <f>'ROSE 2026'!K54</f>
        <v>Neres</v>
      </c>
      <c r="C190" s="135">
        <f>'ROSE 2026'!M54</f>
        <v>10</v>
      </c>
      <c r="D190" s="125" t="s">
        <v>1127</v>
      </c>
    </row>
    <row r="191">
      <c r="A191" s="125" t="s">
        <v>1135</v>
      </c>
      <c r="B191" s="135" t="str">
        <f>'ROSE 2026'!K55</f>
        <v>Vlasic</v>
      </c>
      <c r="C191" s="135">
        <f>'ROSE 2026'!M55</f>
        <v>23</v>
      </c>
      <c r="D191" s="125" t="s">
        <v>1127</v>
      </c>
    </row>
    <row r="192">
      <c r="A192" s="125" t="s">
        <v>1135</v>
      </c>
      <c r="B192" s="135" t="str">
        <f>'ROSE 2026'!K56</f>
        <v>Folorunsho</v>
      </c>
      <c r="C192" s="135">
        <f>'ROSE 2026'!M56</f>
        <v>12</v>
      </c>
      <c r="D192" s="125" t="s">
        <v>1127</v>
      </c>
    </row>
    <row r="193">
      <c r="A193" s="125" t="s">
        <v>1135</v>
      </c>
      <c r="B193" s="135" t="str">
        <f>'ROSE 2026'!K57</f>
        <v>Koopmeiners</v>
      </c>
      <c r="C193" s="135">
        <f>'ROSE 2026'!M57</f>
        <v>7</v>
      </c>
      <c r="D193" s="125" t="s">
        <v>1127</v>
      </c>
    </row>
    <row r="194">
      <c r="A194" s="125" t="s">
        <v>1135</v>
      </c>
      <c r="B194" s="135" t="str">
        <f>'ROSE 2026'!K58</f>
        <v>Elmas</v>
      </c>
      <c r="C194" s="135">
        <f>'ROSE 2026'!M58</f>
        <v>1</v>
      </c>
      <c r="D194" s="125" t="s">
        <v>1127</v>
      </c>
    </row>
    <row r="195">
      <c r="A195" s="125" t="s">
        <v>1135</v>
      </c>
      <c r="B195" s="135" t="str">
        <f>'ROSE 2026'!K59</f>
        <v>Coulibaly L.</v>
      </c>
      <c r="C195" s="135">
        <f>'ROSE 2026'!M59</f>
        <v>1</v>
      </c>
      <c r="D195" s="125" t="s">
        <v>1127</v>
      </c>
    </row>
    <row r="196">
      <c r="A196" s="125" t="s">
        <v>1135</v>
      </c>
      <c r="B196" s="135" t="str">
        <f>'ROSE 2026'!K60</f>
        <v>Thuram</v>
      </c>
      <c r="C196" s="135">
        <f>'ROSE 2026'!M60</f>
        <v>145</v>
      </c>
      <c r="D196" s="125" t="s">
        <v>1128</v>
      </c>
    </row>
    <row r="197">
      <c r="A197" s="125" t="s">
        <v>1135</v>
      </c>
      <c r="B197" s="135" t="str">
        <f>'ROSE 2026'!K61</f>
        <v>Lookman</v>
      </c>
      <c r="C197" s="135">
        <f>'ROSE 2026'!M61</f>
        <v>43</v>
      </c>
      <c r="D197" s="125" t="s">
        <v>1128</v>
      </c>
    </row>
    <row r="198">
      <c r="A198" s="125" t="s">
        <v>1135</v>
      </c>
      <c r="B198" s="135" t="str">
        <f>'ROSE 2026'!K62</f>
        <v>Esposito Se.</v>
      </c>
      <c r="C198" s="135">
        <f>'ROSE 2026'!M62</f>
        <v>40</v>
      </c>
      <c r="D198" s="125" t="s">
        <v>1128</v>
      </c>
    </row>
    <row r="199">
      <c r="A199" s="125" t="s">
        <v>1135</v>
      </c>
      <c r="B199" s="135" t="str">
        <f>'ROSE 2026'!K63</f>
        <v>Gimenez</v>
      </c>
      <c r="C199" s="135">
        <f>'ROSE 2026'!M63</f>
        <v>23</v>
      </c>
      <c r="D199" s="125" t="s">
        <v>1128</v>
      </c>
    </row>
    <row r="200">
      <c r="A200" s="125" t="s">
        <v>1135</v>
      </c>
      <c r="B200" s="135" t="str">
        <f>'ROSE 2026'!K64</f>
        <v>Bonny</v>
      </c>
      <c r="C200" s="135">
        <f>'ROSE 2026'!M64</f>
        <v>3</v>
      </c>
      <c r="D200" s="125" t="s">
        <v>1128</v>
      </c>
    </row>
    <row r="201">
      <c r="A201" s="125" t="s">
        <v>1135</v>
      </c>
      <c r="B201" s="135" t="str">
        <f>'ROSE 2026'!K65</f>
        <v>Diao</v>
      </c>
      <c r="C201" s="135">
        <f>'ROSE 2026'!M65</f>
        <v>4</v>
      </c>
      <c r="D201" s="125" t="s">
        <v>1128</v>
      </c>
    </row>
    <row r="202">
      <c r="A202" s="125" t="s">
        <v>1136</v>
      </c>
      <c r="B202" s="135" t="str">
        <f>'ROSE 2026'!O41</f>
        <v>Maignan</v>
      </c>
      <c r="C202" s="135">
        <f>'ROSE 2026'!Q41</f>
        <v>49</v>
      </c>
      <c r="D202" s="125" t="s">
        <v>1125</v>
      </c>
    </row>
    <row r="203">
      <c r="A203" s="125" t="s">
        <v>1136</v>
      </c>
      <c r="B203" s="135" t="str">
        <f>'ROSE 2026'!O42</f>
        <v>Caprile</v>
      </c>
      <c r="C203" s="135">
        <f>'ROSE 2026'!Q42</f>
        <v>7</v>
      </c>
      <c r="D203" s="125" t="s">
        <v>1125</v>
      </c>
    </row>
    <row r="204">
      <c r="A204" s="125" t="s">
        <v>1136</v>
      </c>
      <c r="B204" s="135" t="str">
        <f>'ROSE 2026'!O43</f>
        <v>Terracciano</v>
      </c>
      <c r="C204" s="135">
        <f>'ROSE 2026'!Q43</f>
        <v>1</v>
      </c>
      <c r="D204" s="125" t="s">
        <v>1125</v>
      </c>
    </row>
    <row r="205">
      <c r="A205" s="125" t="s">
        <v>1136</v>
      </c>
      <c r="B205" s="135" t="str">
        <f>'ROSE 2026'!O44</f>
        <v>Zortea</v>
      </c>
      <c r="C205" s="135">
        <f>'ROSE 2026'!Q44</f>
        <v>18</v>
      </c>
      <c r="D205" s="125" t="s">
        <v>1126</v>
      </c>
    </row>
    <row r="206">
      <c r="A206" s="125" t="s">
        <v>1136</v>
      </c>
      <c r="B206" s="135" t="str">
        <f>'ROSE 2026'!O45</f>
        <v>Hien</v>
      </c>
      <c r="C206" s="135">
        <f>'ROSE 2026'!Q45</f>
        <v>20</v>
      </c>
      <c r="D206" s="125" t="s">
        <v>1126</v>
      </c>
    </row>
    <row r="207">
      <c r="A207" s="125" t="s">
        <v>1136</v>
      </c>
      <c r="B207" s="135" t="str">
        <f>'ROSE 2026'!O46</f>
        <v>Pavlovic</v>
      </c>
      <c r="C207" s="135">
        <f>'ROSE 2026'!Q46</f>
        <v>11</v>
      </c>
      <c r="D207" s="125" t="s">
        <v>1126</v>
      </c>
    </row>
    <row r="208">
      <c r="A208" s="125" t="s">
        <v>1136</v>
      </c>
      <c r="B208" s="135" t="str">
        <f>'ROSE 2026'!O47</f>
        <v>Mancini</v>
      </c>
      <c r="C208" s="135">
        <f>'ROSE 2026'!Q47</f>
        <v>15</v>
      </c>
      <c r="D208" s="125" t="s">
        <v>1126</v>
      </c>
    </row>
    <row r="209">
      <c r="A209" s="125" t="s">
        <v>1136</v>
      </c>
      <c r="B209" s="135" t="str">
        <f>'ROSE 2026'!O48</f>
        <v>Carlos Augusto</v>
      </c>
      <c r="C209" s="135">
        <f>'ROSE 2026'!Q48</f>
        <v>9</v>
      </c>
      <c r="D209" s="125" t="s">
        <v>1126</v>
      </c>
    </row>
    <row r="210">
      <c r="A210" s="125" t="s">
        <v>1136</v>
      </c>
      <c r="B210" s="135" t="str">
        <f>'ROSE 2026'!O49</f>
        <v>Cambiaso</v>
      </c>
      <c r="C210" s="135">
        <f>'ROSE 2026'!Q49</f>
        <v>33</v>
      </c>
      <c r="D210" s="125" t="s">
        <v>1126</v>
      </c>
    </row>
    <row r="211">
      <c r="A211" s="125" t="s">
        <v>1136</v>
      </c>
      <c r="B211" s="135" t="str">
        <f>'ROSE 2026'!O50</f>
        <v>Ostigard</v>
      </c>
      <c r="C211" s="135">
        <f>'ROSE 2026'!Q50</f>
        <v>1</v>
      </c>
      <c r="D211" s="125" t="s">
        <v>1126</v>
      </c>
    </row>
    <row r="212">
      <c r="A212" s="125" t="s">
        <v>1136</v>
      </c>
      <c r="B212" s="135" t="str">
        <f>'ROSE 2026'!O51</f>
        <v>Obert</v>
      </c>
      <c r="C212" s="135">
        <f>'ROSE 2026'!Q51</f>
        <v>1</v>
      </c>
      <c r="D212" s="125" t="s">
        <v>1126</v>
      </c>
    </row>
    <row r="213">
      <c r="A213" s="125" t="s">
        <v>1136</v>
      </c>
      <c r="B213" s="135" t="str">
        <f>'ROSE 2026'!O52</f>
        <v>Calhanoglu</v>
      </c>
      <c r="C213" s="135">
        <f>'ROSE 2026'!Q52</f>
        <v>38</v>
      </c>
      <c r="D213" s="125" t="s">
        <v>1127</v>
      </c>
    </row>
    <row r="214">
      <c r="A214" s="125" t="s">
        <v>1136</v>
      </c>
      <c r="B214" s="135" t="str">
        <f>'ROSE 2026'!O53</f>
        <v>Politano</v>
      </c>
      <c r="C214" s="135">
        <f>'ROSE 2026'!Q53</f>
        <v>30</v>
      </c>
      <c r="D214" s="125" t="s">
        <v>1127</v>
      </c>
    </row>
    <row r="215">
      <c r="A215" s="125" t="s">
        <v>1136</v>
      </c>
      <c r="B215" s="135" t="str">
        <f>'ROSE 2026'!O54</f>
        <v>Isaksen</v>
      </c>
      <c r="C215" s="135">
        <f>'ROSE 2026'!Q54</f>
        <v>29</v>
      </c>
      <c r="D215" s="125" t="s">
        <v>1127</v>
      </c>
    </row>
    <row r="216">
      <c r="A216" s="125" t="s">
        <v>1136</v>
      </c>
      <c r="B216" s="135" t="str">
        <f>'ROSE 2026'!O55</f>
        <v>Frattesi</v>
      </c>
      <c r="C216" s="135">
        <f>'ROSE 2026'!Q55</f>
        <v>7</v>
      </c>
      <c r="D216" s="125" t="s">
        <v>1127</v>
      </c>
    </row>
    <row r="217">
      <c r="A217" s="125" t="s">
        <v>1136</v>
      </c>
      <c r="B217" s="135" t="str">
        <f>'ROSE 2026'!O56</f>
        <v>Carboni V.</v>
      </c>
      <c r="C217" s="135">
        <f>'ROSE 2026'!Q56</f>
        <v>9</v>
      </c>
      <c r="D217" s="125" t="s">
        <v>1127</v>
      </c>
    </row>
    <row r="218">
      <c r="A218" s="125" t="s">
        <v>1136</v>
      </c>
      <c r="B218" s="135" t="str">
        <f>'ROSE 2026'!O57</f>
        <v>Tourè I.</v>
      </c>
      <c r="C218" s="135">
        <f>'ROSE 2026'!Q57</f>
        <v>7</v>
      </c>
      <c r="D218" s="125" t="s">
        <v>1127</v>
      </c>
    </row>
    <row r="219">
      <c r="A219" s="125" t="s">
        <v>1136</v>
      </c>
      <c r="B219" s="135" t="str">
        <f>'ROSE 2026'!O58</f>
        <v>Sorensen O.</v>
      </c>
      <c r="C219" s="135">
        <f>'ROSE 2026'!Q58</f>
        <v>1</v>
      </c>
      <c r="D219" s="125" t="s">
        <v>1127</v>
      </c>
    </row>
    <row r="220">
      <c r="A220" s="125" t="s">
        <v>1136</v>
      </c>
      <c r="B220" s="135" t="str">
        <f>'ROSE 2026'!O59</f>
        <v>Asllani</v>
      </c>
      <c r="C220" s="135">
        <f>'ROSE 2026'!Q59</f>
        <v>1</v>
      </c>
      <c r="D220" s="125" t="s">
        <v>1127</v>
      </c>
    </row>
    <row r="221">
      <c r="A221" s="125" t="s">
        <v>1136</v>
      </c>
      <c r="B221" s="135" t="str">
        <f>'ROSE 2026'!O60</f>
        <v>Berardi</v>
      </c>
      <c r="C221" s="135">
        <f>'ROSE 2026'!Q60</f>
        <v>74</v>
      </c>
      <c r="D221" s="125" t="s">
        <v>1128</v>
      </c>
    </row>
    <row r="222">
      <c r="A222" s="125" t="s">
        <v>1136</v>
      </c>
      <c r="B222" s="135" t="str">
        <f>'ROSE 2026'!O61</f>
        <v>Openda</v>
      </c>
      <c r="C222" s="135">
        <f>'ROSE 2026'!Q61</f>
        <v>28</v>
      </c>
      <c r="D222" s="125" t="s">
        <v>1128</v>
      </c>
    </row>
    <row r="223">
      <c r="A223" s="125" t="s">
        <v>1136</v>
      </c>
      <c r="B223" s="135" t="str">
        <f>'ROSE 2026'!O62</f>
        <v>Vardy</v>
      </c>
      <c r="C223" s="135">
        <f>'ROSE 2026'!Q62</f>
        <v>33</v>
      </c>
      <c r="D223" s="125" t="s">
        <v>1128</v>
      </c>
    </row>
    <row r="224">
      <c r="A224" s="125" t="s">
        <v>1136</v>
      </c>
      <c r="B224" s="135" t="str">
        <f>'ROSE 2026'!O63</f>
        <v>Nkunku</v>
      </c>
      <c r="C224" s="135">
        <f>'ROSE 2026'!Q63</f>
        <v>36</v>
      </c>
      <c r="D224" s="125" t="s">
        <v>1128</v>
      </c>
    </row>
    <row r="225">
      <c r="A225" s="125" t="s">
        <v>1136</v>
      </c>
      <c r="B225" s="135" t="str">
        <f>'ROSE 2026'!O64</f>
        <v>Morata</v>
      </c>
      <c r="C225" s="135">
        <f>'ROSE 2026'!Q64</f>
        <v>23</v>
      </c>
      <c r="D225" s="125" t="s">
        <v>1128</v>
      </c>
    </row>
    <row r="226">
      <c r="A226" s="125" t="s">
        <v>1136</v>
      </c>
      <c r="B226" s="135" t="str">
        <f>'ROSE 2026'!O65</f>
        <v>Ngonge</v>
      </c>
      <c r="C226" s="135">
        <f>'ROSE 2026'!Q65</f>
        <v>14</v>
      </c>
      <c r="D226" s="125" t="s">
        <v>1128</v>
      </c>
    </row>
    <row r="227">
      <c r="A227" s="125" t="s">
        <v>1137</v>
      </c>
      <c r="B227" s="135" t="str">
        <f>'ROSE 2026'!S41</f>
        <v>Di Gregorio</v>
      </c>
      <c r="C227" s="135">
        <f>'ROSE 2026'!U41</f>
        <v>54</v>
      </c>
      <c r="D227" s="125" t="s">
        <v>1125</v>
      </c>
    </row>
    <row r="228">
      <c r="A228" s="125" t="s">
        <v>1137</v>
      </c>
      <c r="B228" s="135" t="str">
        <f>'ROSE 2026'!S42</f>
        <v>Israel</v>
      </c>
      <c r="C228" s="135">
        <f>'ROSE 2026'!U42</f>
        <v>4</v>
      </c>
      <c r="D228" s="125" t="s">
        <v>1125</v>
      </c>
    </row>
    <row r="229">
      <c r="A229" s="125" t="s">
        <v>1137</v>
      </c>
      <c r="B229" s="135" t="str">
        <f>'ROSE 2026'!S43</f>
        <v>Perin</v>
      </c>
      <c r="C229" s="135">
        <f>'ROSE 2026'!U43</f>
        <v>1</v>
      </c>
      <c r="D229" s="125" t="s">
        <v>1125</v>
      </c>
    </row>
    <row r="230">
      <c r="A230" s="125" t="s">
        <v>1137</v>
      </c>
      <c r="B230" s="135" t="str">
        <f>'ROSE 2026'!S44</f>
        <v>Wesley</v>
      </c>
      <c r="C230" s="135">
        <f>'ROSE 2026'!U44</f>
        <v>27</v>
      </c>
      <c r="D230" s="125" t="s">
        <v>1126</v>
      </c>
    </row>
    <row r="231">
      <c r="A231" s="125" t="s">
        <v>1137</v>
      </c>
      <c r="B231" s="135" t="str">
        <f>'ROSE 2026'!S45</f>
        <v>Zappacosta</v>
      </c>
      <c r="C231" s="135">
        <f>'ROSE 2026'!U45</f>
        <v>4</v>
      </c>
      <c r="D231" s="125" t="s">
        <v>1126</v>
      </c>
    </row>
    <row r="232">
      <c r="A232" s="125" t="s">
        <v>1137</v>
      </c>
      <c r="B232" s="135" t="str">
        <f>'ROSE 2026'!S46</f>
        <v>Martin</v>
      </c>
      <c r="C232" s="135">
        <f>'ROSE 2026'!U46</f>
        <v>17</v>
      </c>
      <c r="D232" s="125" t="s">
        <v>1126</v>
      </c>
    </row>
    <row r="233">
      <c r="A233" s="125" t="s">
        <v>1137</v>
      </c>
      <c r="B233" s="135" t="str">
        <f>'ROSE 2026'!S47</f>
        <v>Valeri</v>
      </c>
      <c r="C233" s="135">
        <f>'ROSE 2026'!U47</f>
        <v>15</v>
      </c>
      <c r="D233" s="125" t="s">
        <v>1126</v>
      </c>
    </row>
    <row r="234">
      <c r="A234" s="125" t="s">
        <v>1137</v>
      </c>
      <c r="B234" s="135" t="str">
        <f>'ROSE 2026'!S48</f>
        <v>Acerbi</v>
      </c>
      <c r="C234" s="135">
        <f>'ROSE 2026'!U48</f>
        <v>9</v>
      </c>
      <c r="D234" s="125" t="s">
        <v>1126</v>
      </c>
    </row>
    <row r="235">
      <c r="A235" s="125" t="s">
        <v>1137</v>
      </c>
      <c r="B235" s="135" t="str">
        <f>'ROSE 2026'!S49</f>
        <v>Floriani Mussolini</v>
      </c>
      <c r="C235" s="135">
        <f>'ROSE 2026'!U49</f>
        <v>1</v>
      </c>
      <c r="D235" s="125" t="s">
        <v>1126</v>
      </c>
    </row>
    <row r="236">
      <c r="A236" s="125" t="s">
        <v>1137</v>
      </c>
      <c r="B236" s="135" t="str">
        <f>'ROSE 2026'!S50</f>
        <v>Gutierrez</v>
      </c>
      <c r="C236" s="135">
        <f>'ROSE 2026'!U50</f>
        <v>6</v>
      </c>
      <c r="D236" s="125" t="s">
        <v>1126</v>
      </c>
    </row>
    <row r="237">
      <c r="A237" s="125" t="s">
        <v>1137</v>
      </c>
      <c r="B237" s="135" t="str">
        <f>'ROSE 2026'!S51</f>
        <v>Olivera</v>
      </c>
      <c r="C237" s="135">
        <f>'ROSE 2026'!U51</f>
        <v>1</v>
      </c>
      <c r="D237" s="125" t="s">
        <v>1126</v>
      </c>
    </row>
    <row r="238">
      <c r="A238" s="125" t="s">
        <v>1137</v>
      </c>
      <c r="B238" s="135" t="str">
        <f>'ROSE 2026'!S52</f>
        <v>Paz N.</v>
      </c>
      <c r="C238" s="135">
        <f>'ROSE 2026'!U52</f>
        <v>80</v>
      </c>
      <c r="D238" s="125" t="s">
        <v>1127</v>
      </c>
    </row>
    <row r="239">
      <c r="A239" s="125" t="s">
        <v>1137</v>
      </c>
      <c r="B239" s="135" t="str">
        <f>'ROSE 2026'!S53</f>
        <v>Vazquez</v>
      </c>
      <c r="C239" s="135">
        <f>'ROSE 2026'!U53</f>
        <v>23</v>
      </c>
      <c r="D239" s="125" t="s">
        <v>1127</v>
      </c>
    </row>
    <row r="240">
      <c r="A240" s="125" t="s">
        <v>1137</v>
      </c>
      <c r="B240" s="135" t="str">
        <f>'ROSE 2026'!S54</f>
        <v>Locatelli</v>
      </c>
      <c r="C240" s="135">
        <f>'ROSE 2026'!U54</f>
        <v>5</v>
      </c>
      <c r="D240" s="125" t="s">
        <v>1127</v>
      </c>
    </row>
    <row r="241">
      <c r="A241" s="125" t="s">
        <v>1137</v>
      </c>
      <c r="B241" s="135" t="str">
        <f>'ROSE 2026'!S55</f>
        <v>Vandeputte</v>
      </c>
      <c r="C241" s="135">
        <f>'ROSE 2026'!U55</f>
        <v>15</v>
      </c>
      <c r="D241" s="125" t="s">
        <v>1127</v>
      </c>
    </row>
    <row r="242">
      <c r="A242" s="125" t="s">
        <v>1137</v>
      </c>
      <c r="B242" s="135" t="str">
        <f>'ROSE 2026'!S56</f>
        <v>Dele-Bashiru</v>
      </c>
      <c r="C242" s="135">
        <f>'ROSE 2026'!U56</f>
        <v>5</v>
      </c>
      <c r="D242" s="125" t="s">
        <v>1127</v>
      </c>
    </row>
    <row r="243">
      <c r="A243" s="125" t="s">
        <v>1137</v>
      </c>
      <c r="B243" s="135" t="str">
        <f>'ROSE 2026'!S57</f>
        <v>Harroui</v>
      </c>
      <c r="C243" s="135">
        <f>'ROSE 2026'!U57</f>
        <v>1</v>
      </c>
      <c r="D243" s="125" t="s">
        <v>1127</v>
      </c>
    </row>
    <row r="244">
      <c r="A244" s="125" t="s">
        <v>1137</v>
      </c>
      <c r="B244" s="135" t="str">
        <f>'ROSE 2026'!S58</f>
        <v>De Roon</v>
      </c>
      <c r="C244" s="135">
        <f>'ROSE 2026'!U58</f>
        <v>1</v>
      </c>
      <c r="D244" s="125" t="s">
        <v>1127</v>
      </c>
    </row>
    <row r="245">
      <c r="A245" s="125" t="s">
        <v>1137</v>
      </c>
      <c r="B245" s="135" t="str">
        <f>'ROSE 2026'!S59</f>
        <v>Fabbian</v>
      </c>
      <c r="C245" s="135">
        <f>'ROSE 2026'!U59</f>
        <v>1</v>
      </c>
      <c r="D245" s="125" t="s">
        <v>1127</v>
      </c>
    </row>
    <row r="246">
      <c r="A246" s="125" t="s">
        <v>1137</v>
      </c>
      <c r="B246" s="135" t="str">
        <f>'ROSE 2026'!S60</f>
        <v>David</v>
      </c>
      <c r="C246" s="135">
        <f>'ROSE 2026'!U60</f>
        <v>149</v>
      </c>
      <c r="D246" s="125" t="s">
        <v>1128</v>
      </c>
    </row>
    <row r="247">
      <c r="A247" s="125" t="s">
        <v>1137</v>
      </c>
      <c r="B247" s="135" t="str">
        <f>'ROSE 2026'!S61</f>
        <v>Piccoli</v>
      </c>
      <c r="C247" s="135">
        <f>'ROSE 2026'!U61</f>
        <v>19</v>
      </c>
      <c r="D247" s="125" t="s">
        <v>1128</v>
      </c>
    </row>
    <row r="248">
      <c r="A248" s="125" t="s">
        <v>1137</v>
      </c>
      <c r="B248" s="135" t="str">
        <f>'ROSE 2026'!S62</f>
        <v>Dovbyk</v>
      </c>
      <c r="C248" s="135">
        <f>'ROSE 2026'!U62</f>
        <v>41</v>
      </c>
      <c r="D248" s="125" t="s">
        <v>1128</v>
      </c>
    </row>
    <row r="249">
      <c r="A249" s="125" t="s">
        <v>1137</v>
      </c>
      <c r="B249" s="135" t="str">
        <f>'ROSE 2026'!S63</f>
        <v>Adams C.</v>
      </c>
      <c r="C249" s="135">
        <f>'ROSE 2026'!U63</f>
        <v>1</v>
      </c>
      <c r="D249" s="125" t="s">
        <v>1128</v>
      </c>
    </row>
    <row r="250">
      <c r="A250" s="125" t="s">
        <v>1137</v>
      </c>
      <c r="B250" s="135" t="str">
        <f>'ROSE 2026'!S64</f>
        <v>Immobile</v>
      </c>
      <c r="C250" s="135">
        <f>'ROSE 2026'!U64</f>
        <v>6</v>
      </c>
      <c r="D250" s="125" t="s">
        <v>1128</v>
      </c>
    </row>
    <row r="251">
      <c r="A251" s="125" t="s">
        <v>1137</v>
      </c>
      <c r="B251" s="135" t="str">
        <f>'ROSE 2026'!S65</f>
        <v>Dzeko</v>
      </c>
      <c r="C251" s="135">
        <f>'ROSE 2026'!U65</f>
        <v>14</v>
      </c>
      <c r="D251" s="125" t="s">
        <v>1128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6" t="s">
        <v>1138</v>
      </c>
      <c r="B1" s="136" t="s">
        <v>1139</v>
      </c>
      <c r="C1" s="136" t="s">
        <v>1140</v>
      </c>
      <c r="D1" s="136" t="s">
        <v>1141</v>
      </c>
      <c r="E1" s="136" t="s">
        <v>1142</v>
      </c>
      <c r="F1" s="136" t="s">
        <v>1143</v>
      </c>
      <c r="G1" s="136" t="s">
        <v>1144</v>
      </c>
      <c r="H1" s="136" t="s">
        <v>1145</v>
      </c>
      <c r="I1" s="136" t="s">
        <v>1146</v>
      </c>
      <c r="J1" s="136" t="s">
        <v>1147</v>
      </c>
      <c r="K1" s="136" t="s">
        <v>1148</v>
      </c>
      <c r="L1" s="136" t="s">
        <v>1149</v>
      </c>
      <c r="M1" s="136" t="s">
        <v>1150</v>
      </c>
    </row>
    <row r="2">
      <c r="A2" s="137">
        <v>4312.0</v>
      </c>
      <c r="B2" s="136" t="s">
        <v>1125</v>
      </c>
      <c r="C2" s="136" t="s">
        <v>1151</v>
      </c>
      <c r="D2" s="136" t="s">
        <v>544</v>
      </c>
      <c r="E2" s="136" t="s">
        <v>1152</v>
      </c>
      <c r="F2" s="137">
        <v>20.0</v>
      </c>
      <c r="G2" s="137">
        <v>16.0</v>
      </c>
      <c r="H2" s="137">
        <v>4.0</v>
      </c>
      <c r="I2" s="137">
        <v>20.0</v>
      </c>
      <c r="J2" s="137">
        <v>16.0</v>
      </c>
      <c r="K2" s="137">
        <v>4.0</v>
      </c>
      <c r="L2" s="137">
        <v>90.0</v>
      </c>
      <c r="M2" s="137">
        <v>90.0</v>
      </c>
    </row>
    <row r="3">
      <c r="A3" s="137">
        <v>5841.0</v>
      </c>
      <c r="B3" s="136" t="s">
        <v>1125</v>
      </c>
      <c r="C3" s="136" t="s">
        <v>1151</v>
      </c>
      <c r="D3" s="136" t="s">
        <v>550</v>
      </c>
      <c r="E3" s="136" t="s">
        <v>1153</v>
      </c>
      <c r="F3" s="137">
        <v>19.0</v>
      </c>
      <c r="G3" s="137">
        <v>15.0</v>
      </c>
      <c r="H3" s="137">
        <v>4.0</v>
      </c>
      <c r="I3" s="137">
        <v>19.0</v>
      </c>
      <c r="J3" s="137">
        <v>15.0</v>
      </c>
      <c r="K3" s="137">
        <v>4.0</v>
      </c>
      <c r="L3" s="137">
        <v>101.0</v>
      </c>
      <c r="M3" s="137">
        <v>101.0</v>
      </c>
    </row>
    <row r="4">
      <c r="A4" s="137">
        <v>4431.0</v>
      </c>
      <c r="B4" s="136" t="s">
        <v>1125</v>
      </c>
      <c r="C4" s="136" t="s">
        <v>1151</v>
      </c>
      <c r="D4" s="136" t="s">
        <v>802</v>
      </c>
      <c r="E4" s="136" t="s">
        <v>1154</v>
      </c>
      <c r="F4" s="137">
        <v>18.0</v>
      </c>
      <c r="G4" s="137">
        <v>14.0</v>
      </c>
      <c r="H4" s="137">
        <v>4.0</v>
      </c>
      <c r="I4" s="137">
        <v>18.0</v>
      </c>
      <c r="J4" s="137">
        <v>14.0</v>
      </c>
      <c r="K4" s="137">
        <v>4.0</v>
      </c>
      <c r="L4" s="137">
        <v>62.0</v>
      </c>
      <c r="M4" s="137">
        <v>62.0</v>
      </c>
    </row>
    <row r="5">
      <c r="A5" s="137">
        <v>2170.0</v>
      </c>
      <c r="B5" s="136" t="s">
        <v>1125</v>
      </c>
      <c r="C5" s="136" t="s">
        <v>1151</v>
      </c>
      <c r="D5" s="136" t="s">
        <v>676</v>
      </c>
      <c r="E5" s="136" t="s">
        <v>1155</v>
      </c>
      <c r="F5" s="137">
        <v>18.0</v>
      </c>
      <c r="G5" s="137">
        <v>4.0</v>
      </c>
      <c r="H5" s="137">
        <v>14.0</v>
      </c>
      <c r="I5" s="137">
        <v>18.0</v>
      </c>
      <c r="J5" s="137">
        <v>4.0</v>
      </c>
      <c r="K5" s="137">
        <v>14.0</v>
      </c>
      <c r="L5" s="137">
        <v>45.0</v>
      </c>
      <c r="M5" s="137">
        <v>45.0</v>
      </c>
    </row>
    <row r="6">
      <c r="A6" s="137">
        <v>6966.0</v>
      </c>
      <c r="B6" s="136" t="s">
        <v>1125</v>
      </c>
      <c r="C6" s="136" t="s">
        <v>1151</v>
      </c>
      <c r="D6" s="136" t="s">
        <v>1070</v>
      </c>
      <c r="E6" s="136" t="s">
        <v>1156</v>
      </c>
      <c r="F6" s="137">
        <v>17.0</v>
      </c>
      <c r="G6" s="137">
        <v>10.0</v>
      </c>
      <c r="H6" s="137">
        <v>7.0</v>
      </c>
      <c r="I6" s="137">
        <v>17.0</v>
      </c>
      <c r="J6" s="137">
        <v>10.0</v>
      </c>
      <c r="K6" s="137">
        <v>7.0</v>
      </c>
      <c r="L6" s="137">
        <v>70.0</v>
      </c>
      <c r="M6" s="137">
        <v>70.0</v>
      </c>
    </row>
    <row r="7">
      <c r="A7" s="137">
        <v>2814.0</v>
      </c>
      <c r="B7" s="136" t="s">
        <v>1125</v>
      </c>
      <c r="C7" s="136" t="s">
        <v>1151</v>
      </c>
      <c r="D7" s="136" t="s">
        <v>673</v>
      </c>
      <c r="E7" s="136" t="s">
        <v>1157</v>
      </c>
      <c r="F7" s="137">
        <v>17.0</v>
      </c>
      <c r="G7" s="137">
        <v>12.0</v>
      </c>
      <c r="H7" s="137">
        <v>5.0</v>
      </c>
      <c r="I7" s="137">
        <v>17.0</v>
      </c>
      <c r="J7" s="137">
        <v>12.0</v>
      </c>
      <c r="K7" s="137">
        <v>5.0</v>
      </c>
      <c r="L7" s="137">
        <v>74.0</v>
      </c>
      <c r="M7" s="137">
        <v>74.0</v>
      </c>
    </row>
    <row r="8">
      <c r="A8" s="137">
        <v>5876.0</v>
      </c>
      <c r="B8" s="136" t="s">
        <v>1125</v>
      </c>
      <c r="C8" s="136" t="s">
        <v>1151</v>
      </c>
      <c r="D8" s="136" t="s">
        <v>863</v>
      </c>
      <c r="E8" s="136" t="s">
        <v>1158</v>
      </c>
      <c r="F8" s="137">
        <v>16.0</v>
      </c>
      <c r="G8" s="137">
        <v>16.0</v>
      </c>
      <c r="H8" s="137">
        <v>0.0</v>
      </c>
      <c r="I8" s="137">
        <v>16.0</v>
      </c>
      <c r="J8" s="137">
        <v>16.0</v>
      </c>
      <c r="K8" s="137">
        <v>0.0</v>
      </c>
      <c r="L8" s="137">
        <v>68.0</v>
      </c>
      <c r="M8" s="137">
        <v>68.0</v>
      </c>
    </row>
    <row r="9">
      <c r="A9" s="137">
        <v>2134.0</v>
      </c>
      <c r="B9" s="136" t="s">
        <v>1125</v>
      </c>
      <c r="C9" s="136" t="s">
        <v>1151</v>
      </c>
      <c r="D9" s="136" t="s">
        <v>556</v>
      </c>
      <c r="E9" s="136" t="s">
        <v>1159</v>
      </c>
      <c r="F9" s="137">
        <v>16.0</v>
      </c>
      <c r="G9" s="137">
        <v>6.0</v>
      </c>
      <c r="H9" s="137">
        <v>10.0</v>
      </c>
      <c r="I9" s="137">
        <v>16.0</v>
      </c>
      <c r="J9" s="137">
        <v>6.0</v>
      </c>
      <c r="K9" s="137">
        <v>10.0</v>
      </c>
      <c r="L9" s="137">
        <v>38.0</v>
      </c>
      <c r="M9" s="137">
        <v>38.0</v>
      </c>
    </row>
    <row r="10">
      <c r="A10" s="137">
        <v>761.0</v>
      </c>
      <c r="B10" s="136" t="s">
        <v>1125</v>
      </c>
      <c r="C10" s="136" t="s">
        <v>1151</v>
      </c>
      <c r="D10" s="136" t="s">
        <v>681</v>
      </c>
      <c r="E10" s="136" t="s">
        <v>1160</v>
      </c>
      <c r="F10" s="137">
        <v>15.0</v>
      </c>
      <c r="G10" s="137">
        <v>5.0</v>
      </c>
      <c r="H10" s="137">
        <v>10.0</v>
      </c>
      <c r="I10" s="137">
        <v>15.0</v>
      </c>
      <c r="J10" s="137">
        <v>5.0</v>
      </c>
      <c r="K10" s="137">
        <v>10.0</v>
      </c>
      <c r="L10" s="137">
        <v>14.0</v>
      </c>
      <c r="M10" s="137">
        <v>14.0</v>
      </c>
    </row>
    <row r="11">
      <c r="A11" s="137">
        <v>2428.0</v>
      </c>
      <c r="B11" s="136" t="s">
        <v>1125</v>
      </c>
      <c r="C11" s="136" t="s">
        <v>1151</v>
      </c>
      <c r="D11" s="136" t="s">
        <v>862</v>
      </c>
      <c r="E11" s="136" t="s">
        <v>1161</v>
      </c>
      <c r="F11" s="137">
        <v>13.0</v>
      </c>
      <c r="G11" s="137">
        <v>16.0</v>
      </c>
      <c r="H11" s="137">
        <v>-3.0</v>
      </c>
      <c r="I11" s="137">
        <v>13.0</v>
      </c>
      <c r="J11" s="137">
        <v>16.0</v>
      </c>
      <c r="K11" s="137">
        <v>-3.0</v>
      </c>
      <c r="L11" s="137">
        <v>57.0</v>
      </c>
      <c r="M11" s="137">
        <v>57.0</v>
      </c>
    </row>
    <row r="12">
      <c r="A12" s="137">
        <v>4360.0</v>
      </c>
      <c r="B12" s="136" t="s">
        <v>1125</v>
      </c>
      <c r="C12" s="136" t="s">
        <v>1151</v>
      </c>
      <c r="D12" s="136" t="s">
        <v>919</v>
      </c>
      <c r="E12" s="136" t="s">
        <v>1162</v>
      </c>
      <c r="F12" s="137">
        <v>12.0</v>
      </c>
      <c r="G12" s="137">
        <v>7.0</v>
      </c>
      <c r="H12" s="137">
        <v>5.0</v>
      </c>
      <c r="I12" s="137">
        <v>12.0</v>
      </c>
      <c r="J12" s="137">
        <v>7.0</v>
      </c>
      <c r="K12" s="137">
        <v>5.0</v>
      </c>
      <c r="L12" s="137">
        <v>26.0</v>
      </c>
      <c r="M12" s="137">
        <v>26.0</v>
      </c>
    </row>
    <row r="13">
      <c r="A13" s="137">
        <v>4236.0</v>
      </c>
      <c r="B13" s="136" t="s">
        <v>1125</v>
      </c>
      <c r="C13" s="136" t="s">
        <v>1151</v>
      </c>
      <c r="D13" s="136" t="s">
        <v>1163</v>
      </c>
      <c r="E13" s="136" t="s">
        <v>1164</v>
      </c>
      <c r="F13" s="137">
        <v>12.0</v>
      </c>
      <c r="G13" s="137">
        <v>3.0</v>
      </c>
      <c r="H13" s="137">
        <v>9.0</v>
      </c>
      <c r="I13" s="137">
        <v>12.0</v>
      </c>
      <c r="J13" s="137">
        <v>3.0</v>
      </c>
      <c r="K13" s="137">
        <v>9.0</v>
      </c>
      <c r="L13" s="137">
        <v>15.0</v>
      </c>
      <c r="M13" s="137">
        <v>15.0</v>
      </c>
    </row>
    <row r="14">
      <c r="A14" s="137">
        <v>2521.0</v>
      </c>
      <c r="B14" s="136" t="s">
        <v>1125</v>
      </c>
      <c r="C14" s="136" t="s">
        <v>1151</v>
      </c>
      <c r="D14" s="136" t="s">
        <v>972</v>
      </c>
      <c r="E14" s="136" t="s">
        <v>1165</v>
      </c>
      <c r="F14" s="137">
        <v>11.0</v>
      </c>
      <c r="G14" s="137">
        <v>14.0</v>
      </c>
      <c r="H14" s="137">
        <v>-3.0</v>
      </c>
      <c r="I14" s="137">
        <v>11.0</v>
      </c>
      <c r="J14" s="137">
        <v>14.0</v>
      </c>
      <c r="K14" s="137">
        <v>-3.0</v>
      </c>
      <c r="L14" s="137">
        <v>18.0</v>
      </c>
      <c r="M14" s="137">
        <v>18.0</v>
      </c>
    </row>
    <row r="15">
      <c r="A15" s="137">
        <v>6662.0</v>
      </c>
      <c r="B15" s="136" t="s">
        <v>1125</v>
      </c>
      <c r="C15" s="136" t="s">
        <v>1151</v>
      </c>
      <c r="D15" s="136" t="s">
        <v>1166</v>
      </c>
      <c r="E15" s="136" t="s">
        <v>1167</v>
      </c>
      <c r="F15" s="137">
        <v>11.0</v>
      </c>
      <c r="G15" s="137">
        <v>1.0</v>
      </c>
      <c r="H15" s="137">
        <v>10.0</v>
      </c>
      <c r="I15" s="137">
        <v>11.0</v>
      </c>
      <c r="J15" s="137">
        <v>1.0</v>
      </c>
      <c r="K15" s="137">
        <v>10.0</v>
      </c>
      <c r="L15" s="137">
        <v>14.0</v>
      </c>
      <c r="M15" s="137">
        <v>14.0</v>
      </c>
    </row>
    <row r="16">
      <c r="A16" s="137">
        <v>6462.0</v>
      </c>
      <c r="B16" s="136" t="s">
        <v>1125</v>
      </c>
      <c r="C16" s="136" t="s">
        <v>1151</v>
      </c>
      <c r="D16" s="136" t="s">
        <v>922</v>
      </c>
      <c r="E16" s="136" t="s">
        <v>1168</v>
      </c>
      <c r="F16" s="137">
        <v>11.0</v>
      </c>
      <c r="G16" s="137">
        <v>6.0</v>
      </c>
      <c r="H16" s="137">
        <v>5.0</v>
      </c>
      <c r="I16" s="137">
        <v>11.0</v>
      </c>
      <c r="J16" s="137">
        <v>6.0</v>
      </c>
      <c r="K16" s="137">
        <v>5.0</v>
      </c>
      <c r="L16" s="137">
        <v>10.0</v>
      </c>
      <c r="M16" s="137">
        <v>10.0</v>
      </c>
    </row>
    <row r="17">
      <c r="A17" s="137">
        <v>2722.0</v>
      </c>
      <c r="B17" s="136" t="s">
        <v>1125</v>
      </c>
      <c r="C17" s="136" t="s">
        <v>1151</v>
      </c>
      <c r="D17" s="136" t="s">
        <v>923</v>
      </c>
      <c r="E17" s="136" t="s">
        <v>1169</v>
      </c>
      <c r="F17" s="137">
        <v>10.0</v>
      </c>
      <c r="G17" s="137">
        <v>3.0</v>
      </c>
      <c r="H17" s="137">
        <v>7.0</v>
      </c>
      <c r="I17" s="137">
        <v>10.0</v>
      </c>
      <c r="J17" s="137">
        <v>3.0</v>
      </c>
      <c r="K17" s="137">
        <v>7.0</v>
      </c>
      <c r="L17" s="137">
        <v>11.0</v>
      </c>
      <c r="M17" s="137">
        <v>11.0</v>
      </c>
    </row>
    <row r="18">
      <c r="A18" s="137">
        <v>133.0</v>
      </c>
      <c r="B18" s="136" t="s">
        <v>1125</v>
      </c>
      <c r="C18" s="136" t="s">
        <v>1151</v>
      </c>
      <c r="D18" s="136" t="s">
        <v>678</v>
      </c>
      <c r="E18" s="136" t="s">
        <v>1169</v>
      </c>
      <c r="F18" s="137">
        <v>10.0</v>
      </c>
      <c r="G18" s="137">
        <v>10.0</v>
      </c>
      <c r="H18" s="137">
        <v>0.0</v>
      </c>
      <c r="I18" s="137">
        <v>10.0</v>
      </c>
      <c r="J18" s="137">
        <v>10.0</v>
      </c>
      <c r="K18" s="137">
        <v>0.0</v>
      </c>
      <c r="L18" s="137">
        <v>10.0</v>
      </c>
      <c r="M18" s="137">
        <v>10.0</v>
      </c>
    </row>
    <row r="19">
      <c r="A19" s="137">
        <v>188.0</v>
      </c>
      <c r="B19" s="136" t="s">
        <v>1125</v>
      </c>
      <c r="C19" s="136" t="s">
        <v>1151</v>
      </c>
      <c r="D19" s="136" t="s">
        <v>1022</v>
      </c>
      <c r="E19" s="136" t="s">
        <v>1170</v>
      </c>
      <c r="F19" s="137">
        <v>10.0</v>
      </c>
      <c r="G19" s="137">
        <v>8.0</v>
      </c>
      <c r="H19" s="137">
        <v>2.0</v>
      </c>
      <c r="I19" s="137">
        <v>10.0</v>
      </c>
      <c r="J19" s="137">
        <v>8.0</v>
      </c>
      <c r="K19" s="137">
        <v>2.0</v>
      </c>
      <c r="L19" s="137">
        <v>5.0</v>
      </c>
      <c r="M19" s="137">
        <v>5.0</v>
      </c>
    </row>
    <row r="20">
      <c r="A20" s="137">
        <v>7332.0</v>
      </c>
      <c r="B20" s="136" t="s">
        <v>1125</v>
      </c>
      <c r="C20" s="136" t="s">
        <v>1151</v>
      </c>
      <c r="D20" s="136" t="s">
        <v>1171</v>
      </c>
      <c r="E20" s="136" t="s">
        <v>1170</v>
      </c>
      <c r="F20" s="137">
        <v>10.0</v>
      </c>
      <c r="G20" s="137">
        <v>10.0</v>
      </c>
      <c r="H20" s="137">
        <v>0.0</v>
      </c>
      <c r="I20" s="137">
        <v>10.0</v>
      </c>
      <c r="J20" s="137">
        <v>10.0</v>
      </c>
      <c r="K20" s="137">
        <v>0.0</v>
      </c>
      <c r="L20" s="137">
        <v>12.0</v>
      </c>
      <c r="M20" s="137">
        <v>12.0</v>
      </c>
    </row>
    <row r="21">
      <c r="A21" s="137">
        <v>2861.0</v>
      </c>
      <c r="B21" s="136" t="s">
        <v>1125</v>
      </c>
      <c r="C21" s="136" t="s">
        <v>1151</v>
      </c>
      <c r="D21" s="136" t="s">
        <v>1023</v>
      </c>
      <c r="E21" s="136" t="s">
        <v>1172</v>
      </c>
      <c r="F21" s="137">
        <v>9.0</v>
      </c>
      <c r="G21" s="137">
        <v>3.0</v>
      </c>
      <c r="H21" s="137">
        <v>6.0</v>
      </c>
      <c r="I21" s="137">
        <v>9.0</v>
      </c>
      <c r="J21" s="137">
        <v>3.0</v>
      </c>
      <c r="K21" s="137">
        <v>6.0</v>
      </c>
      <c r="L21" s="137">
        <v>2.0</v>
      </c>
      <c r="M21" s="137">
        <v>2.0</v>
      </c>
    </row>
    <row r="22">
      <c r="A22" s="137">
        <v>4957.0</v>
      </c>
      <c r="B22" s="136" t="s">
        <v>1125</v>
      </c>
      <c r="C22" s="136" t="s">
        <v>1151</v>
      </c>
      <c r="D22" s="136" t="s">
        <v>1024</v>
      </c>
      <c r="E22" s="136" t="s">
        <v>1173</v>
      </c>
      <c r="F22" s="137">
        <v>9.0</v>
      </c>
      <c r="G22" s="137">
        <v>5.0</v>
      </c>
      <c r="H22" s="137">
        <v>4.0</v>
      </c>
      <c r="I22" s="137">
        <v>9.0</v>
      </c>
      <c r="J22" s="137">
        <v>5.0</v>
      </c>
      <c r="K22" s="137">
        <v>4.0</v>
      </c>
      <c r="L22" s="137">
        <v>3.0</v>
      </c>
      <c r="M22" s="137">
        <v>3.0</v>
      </c>
    </row>
    <row r="23">
      <c r="A23" s="137">
        <v>572.0</v>
      </c>
      <c r="B23" s="136" t="s">
        <v>1125</v>
      </c>
      <c r="C23" s="136" t="s">
        <v>1151</v>
      </c>
      <c r="D23" s="136" t="s">
        <v>546</v>
      </c>
      <c r="E23" s="136" t="s">
        <v>1155</v>
      </c>
      <c r="F23" s="137">
        <v>8.0</v>
      </c>
      <c r="G23" s="137">
        <v>16.0</v>
      </c>
      <c r="H23" s="137">
        <v>-8.0</v>
      </c>
      <c r="I23" s="137">
        <v>8.0</v>
      </c>
      <c r="J23" s="137">
        <v>16.0</v>
      </c>
      <c r="K23" s="137">
        <v>-8.0</v>
      </c>
      <c r="L23" s="137">
        <v>15.0</v>
      </c>
      <c r="M23" s="137">
        <v>15.0</v>
      </c>
    </row>
    <row r="24">
      <c r="A24" s="137">
        <v>6641.0</v>
      </c>
      <c r="B24" s="136" t="s">
        <v>1125</v>
      </c>
      <c r="C24" s="136" t="s">
        <v>1151</v>
      </c>
      <c r="D24" s="136" t="s">
        <v>920</v>
      </c>
      <c r="E24" s="136" t="s">
        <v>1167</v>
      </c>
      <c r="F24" s="137">
        <v>8.0</v>
      </c>
      <c r="G24" s="137">
        <v>7.0</v>
      </c>
      <c r="H24" s="137">
        <v>1.0</v>
      </c>
      <c r="I24" s="137">
        <v>8.0</v>
      </c>
      <c r="J24" s="137">
        <v>7.0</v>
      </c>
      <c r="K24" s="137">
        <v>1.0</v>
      </c>
      <c r="L24" s="137">
        <v>10.0</v>
      </c>
      <c r="M24" s="137">
        <v>10.0</v>
      </c>
    </row>
    <row r="25">
      <c r="A25" s="137">
        <v>5320.0</v>
      </c>
      <c r="B25" s="136" t="s">
        <v>1125</v>
      </c>
      <c r="C25" s="136" t="s">
        <v>1151</v>
      </c>
      <c r="D25" s="136" t="s">
        <v>1174</v>
      </c>
      <c r="E25" s="136" t="s">
        <v>1175</v>
      </c>
      <c r="F25" s="137">
        <v>8.0</v>
      </c>
      <c r="G25" s="137">
        <v>1.0</v>
      </c>
      <c r="H25" s="137">
        <v>7.0</v>
      </c>
      <c r="I25" s="137">
        <v>8.0</v>
      </c>
      <c r="J25" s="137">
        <v>1.0</v>
      </c>
      <c r="K25" s="137">
        <v>7.0</v>
      </c>
      <c r="L25" s="137">
        <v>8.0</v>
      </c>
      <c r="M25" s="137">
        <v>8.0</v>
      </c>
    </row>
    <row r="26">
      <c r="A26" s="137">
        <v>543.0</v>
      </c>
      <c r="B26" s="136" t="s">
        <v>1125</v>
      </c>
      <c r="C26" s="136" t="s">
        <v>1151</v>
      </c>
      <c r="D26" s="136" t="s">
        <v>1176</v>
      </c>
      <c r="E26" s="136" t="s">
        <v>1168</v>
      </c>
      <c r="F26" s="137">
        <v>4.0</v>
      </c>
      <c r="G26" s="137">
        <v>1.0</v>
      </c>
      <c r="H26" s="137">
        <v>3.0</v>
      </c>
      <c r="I26" s="137">
        <v>4.0</v>
      </c>
      <c r="J26" s="137">
        <v>1.0</v>
      </c>
      <c r="K26" s="137">
        <v>3.0</v>
      </c>
      <c r="L26" s="137">
        <v>1.0</v>
      </c>
      <c r="M26" s="137">
        <v>1.0</v>
      </c>
    </row>
    <row r="27">
      <c r="A27" s="137">
        <v>218.0</v>
      </c>
      <c r="B27" s="136" t="s">
        <v>1125</v>
      </c>
      <c r="C27" s="136" t="s">
        <v>1151</v>
      </c>
      <c r="D27" s="136" t="s">
        <v>548</v>
      </c>
      <c r="E27" s="136" t="s">
        <v>1158</v>
      </c>
      <c r="F27" s="137">
        <v>3.0</v>
      </c>
      <c r="G27" s="137">
        <v>1.0</v>
      </c>
      <c r="H27" s="137">
        <v>2.0</v>
      </c>
      <c r="I27" s="137">
        <v>3.0</v>
      </c>
      <c r="J27" s="137">
        <v>1.0</v>
      </c>
      <c r="K27" s="137">
        <v>2.0</v>
      </c>
      <c r="L27" s="137">
        <v>1.0</v>
      </c>
      <c r="M27" s="137">
        <v>1.0</v>
      </c>
    </row>
    <row r="28">
      <c r="A28" s="137">
        <v>5338.0</v>
      </c>
      <c r="B28" s="136" t="s">
        <v>1125</v>
      </c>
      <c r="C28" s="136" t="s">
        <v>1151</v>
      </c>
      <c r="D28" s="136" t="s">
        <v>1177</v>
      </c>
      <c r="E28" s="136" t="s">
        <v>1167</v>
      </c>
      <c r="F28" s="137">
        <v>3.0</v>
      </c>
      <c r="G28" s="137">
        <v>1.0</v>
      </c>
      <c r="H28" s="137">
        <v>2.0</v>
      </c>
      <c r="I28" s="137">
        <v>3.0</v>
      </c>
      <c r="J28" s="137">
        <v>1.0</v>
      </c>
      <c r="K28" s="137">
        <v>2.0</v>
      </c>
      <c r="L28" s="137">
        <v>1.0</v>
      </c>
      <c r="M28" s="137">
        <v>1.0</v>
      </c>
    </row>
    <row r="29">
      <c r="A29" s="137">
        <v>511.0</v>
      </c>
      <c r="B29" s="136" t="s">
        <v>1125</v>
      </c>
      <c r="C29" s="136" t="s">
        <v>1151</v>
      </c>
      <c r="D29" s="136" t="s">
        <v>1178</v>
      </c>
      <c r="E29" s="136" t="s">
        <v>1173</v>
      </c>
      <c r="F29" s="137">
        <v>3.0</v>
      </c>
      <c r="G29" s="137">
        <v>1.0</v>
      </c>
      <c r="H29" s="137">
        <v>2.0</v>
      </c>
      <c r="I29" s="137">
        <v>3.0</v>
      </c>
      <c r="J29" s="137">
        <v>1.0</v>
      </c>
      <c r="K29" s="137">
        <v>2.0</v>
      </c>
      <c r="L29" s="137">
        <v>4.0</v>
      </c>
      <c r="M29" s="137">
        <v>4.0</v>
      </c>
    </row>
    <row r="30">
      <c r="A30" s="137">
        <v>574.0</v>
      </c>
      <c r="B30" s="136" t="s">
        <v>1125</v>
      </c>
      <c r="C30" s="136" t="s">
        <v>1151</v>
      </c>
      <c r="D30" s="136" t="s">
        <v>1179</v>
      </c>
      <c r="E30" s="136" t="s">
        <v>1172</v>
      </c>
      <c r="F30" s="137">
        <v>2.0</v>
      </c>
      <c r="G30" s="137">
        <v>3.0</v>
      </c>
      <c r="H30" s="137">
        <v>-1.0</v>
      </c>
      <c r="I30" s="137">
        <v>2.0</v>
      </c>
      <c r="J30" s="137">
        <v>3.0</v>
      </c>
      <c r="K30" s="137">
        <v>-1.0</v>
      </c>
      <c r="L30" s="137">
        <v>4.0</v>
      </c>
      <c r="M30" s="137">
        <v>4.0</v>
      </c>
    </row>
    <row r="31">
      <c r="A31" s="137">
        <v>7179.0</v>
      </c>
      <c r="B31" s="136" t="s">
        <v>1125</v>
      </c>
      <c r="C31" s="136" t="s">
        <v>1151</v>
      </c>
      <c r="D31" s="136" t="s">
        <v>1071</v>
      </c>
      <c r="E31" s="136" t="s">
        <v>1175</v>
      </c>
      <c r="F31" s="137">
        <v>2.0</v>
      </c>
      <c r="G31" s="137">
        <v>9.0</v>
      </c>
      <c r="H31" s="137">
        <v>-7.0</v>
      </c>
      <c r="I31" s="137">
        <v>2.0</v>
      </c>
      <c r="J31" s="137">
        <v>9.0</v>
      </c>
      <c r="K31" s="137">
        <v>-7.0</v>
      </c>
      <c r="L31" s="137">
        <v>1.0</v>
      </c>
      <c r="M31" s="137">
        <v>1.0</v>
      </c>
    </row>
    <row r="32">
      <c r="A32" s="137">
        <v>2297.0</v>
      </c>
      <c r="B32" s="136" t="s">
        <v>1125</v>
      </c>
      <c r="C32" s="136" t="s">
        <v>1151</v>
      </c>
      <c r="D32" s="136" t="s">
        <v>557</v>
      </c>
      <c r="E32" s="136" t="s">
        <v>1154</v>
      </c>
      <c r="F32" s="137">
        <v>1.0</v>
      </c>
      <c r="G32" s="137">
        <v>1.0</v>
      </c>
      <c r="H32" s="137">
        <v>0.0</v>
      </c>
      <c r="I32" s="137">
        <v>1.0</v>
      </c>
      <c r="J32" s="137">
        <v>1.0</v>
      </c>
      <c r="K32" s="137">
        <v>0.0</v>
      </c>
      <c r="L32" s="137">
        <v>1.0</v>
      </c>
      <c r="M32" s="137">
        <v>1.0</v>
      </c>
    </row>
    <row r="33">
      <c r="A33" s="137">
        <v>4.0</v>
      </c>
      <c r="B33" s="136" t="s">
        <v>1125</v>
      </c>
      <c r="C33" s="136" t="s">
        <v>1151</v>
      </c>
      <c r="D33" s="136" t="s">
        <v>552</v>
      </c>
      <c r="E33" s="136" t="s">
        <v>1154</v>
      </c>
      <c r="F33" s="137">
        <v>1.0</v>
      </c>
      <c r="G33" s="137">
        <v>1.0</v>
      </c>
      <c r="H33" s="137">
        <v>0.0</v>
      </c>
      <c r="I33" s="137">
        <v>1.0</v>
      </c>
      <c r="J33" s="137">
        <v>1.0</v>
      </c>
      <c r="K33" s="137">
        <v>0.0</v>
      </c>
      <c r="L33" s="137">
        <v>1.0</v>
      </c>
      <c r="M33" s="137">
        <v>1.0</v>
      </c>
    </row>
    <row r="34">
      <c r="A34" s="137">
        <v>7172.0</v>
      </c>
      <c r="B34" s="136" t="s">
        <v>1125</v>
      </c>
      <c r="C34" s="136" t="s">
        <v>1151</v>
      </c>
      <c r="D34" s="136" t="s">
        <v>1180</v>
      </c>
      <c r="E34" s="136" t="s">
        <v>1169</v>
      </c>
      <c r="F34" s="137">
        <v>1.0</v>
      </c>
      <c r="G34" s="137">
        <v>1.0</v>
      </c>
      <c r="H34" s="137">
        <v>0.0</v>
      </c>
      <c r="I34" s="137">
        <v>1.0</v>
      </c>
      <c r="J34" s="137">
        <v>1.0</v>
      </c>
      <c r="K34" s="137">
        <v>0.0</v>
      </c>
      <c r="L34" s="137">
        <v>1.0</v>
      </c>
      <c r="M34" s="137">
        <v>1.0</v>
      </c>
    </row>
    <row r="35">
      <c r="A35" s="137">
        <v>4929.0</v>
      </c>
      <c r="B35" s="136" t="s">
        <v>1125</v>
      </c>
      <c r="C35" s="136" t="s">
        <v>1151</v>
      </c>
      <c r="D35" s="136" t="s">
        <v>1181</v>
      </c>
      <c r="E35" s="136" t="s">
        <v>1162</v>
      </c>
      <c r="F35" s="137">
        <v>1.0</v>
      </c>
      <c r="G35" s="137">
        <v>1.0</v>
      </c>
      <c r="H35" s="137">
        <v>0.0</v>
      </c>
      <c r="I35" s="137">
        <v>1.0</v>
      </c>
      <c r="J35" s="137">
        <v>1.0</v>
      </c>
      <c r="K35" s="137">
        <v>0.0</v>
      </c>
      <c r="L35" s="137">
        <v>1.0</v>
      </c>
      <c r="M35" s="137">
        <v>1.0</v>
      </c>
    </row>
    <row r="36">
      <c r="A36" s="137">
        <v>2809.0</v>
      </c>
      <c r="B36" s="136" t="s">
        <v>1125</v>
      </c>
      <c r="C36" s="136" t="s">
        <v>1151</v>
      </c>
      <c r="D36" s="136" t="s">
        <v>1182</v>
      </c>
      <c r="E36" s="136" t="s">
        <v>1156</v>
      </c>
      <c r="F36" s="137">
        <v>1.0</v>
      </c>
      <c r="G36" s="137">
        <v>1.0</v>
      </c>
      <c r="H36" s="137">
        <v>0.0</v>
      </c>
      <c r="I36" s="137">
        <v>1.0</v>
      </c>
      <c r="J36" s="137">
        <v>1.0</v>
      </c>
      <c r="K36" s="137">
        <v>0.0</v>
      </c>
      <c r="L36" s="137">
        <v>1.0</v>
      </c>
      <c r="M36" s="137">
        <v>1.0</v>
      </c>
    </row>
    <row r="37">
      <c r="A37" s="137">
        <v>6505.0</v>
      </c>
      <c r="B37" s="136" t="s">
        <v>1125</v>
      </c>
      <c r="C37" s="136" t="s">
        <v>1151</v>
      </c>
      <c r="D37" s="136" t="s">
        <v>1183</v>
      </c>
      <c r="E37" s="136" t="s">
        <v>1160</v>
      </c>
      <c r="F37" s="137">
        <v>1.0</v>
      </c>
      <c r="G37" s="137">
        <v>1.0</v>
      </c>
      <c r="H37" s="137">
        <v>0.0</v>
      </c>
      <c r="I37" s="137">
        <v>1.0</v>
      </c>
      <c r="J37" s="137">
        <v>1.0</v>
      </c>
      <c r="K37" s="137">
        <v>0.0</v>
      </c>
      <c r="L37" s="137">
        <v>1.0</v>
      </c>
      <c r="M37" s="137">
        <v>1.0</v>
      </c>
    </row>
    <row r="38">
      <c r="A38" s="137">
        <v>6403.0</v>
      </c>
      <c r="B38" s="136" t="s">
        <v>1125</v>
      </c>
      <c r="C38" s="136" t="s">
        <v>1151</v>
      </c>
      <c r="D38" s="136" t="s">
        <v>803</v>
      </c>
      <c r="E38" s="136" t="s">
        <v>1165</v>
      </c>
      <c r="F38" s="137">
        <v>1.0</v>
      </c>
      <c r="G38" s="137">
        <v>1.0</v>
      </c>
      <c r="H38" s="137">
        <v>0.0</v>
      </c>
      <c r="I38" s="137">
        <v>1.0</v>
      </c>
      <c r="J38" s="137">
        <v>1.0</v>
      </c>
      <c r="K38" s="137">
        <v>0.0</v>
      </c>
      <c r="L38" s="137">
        <v>1.0</v>
      </c>
      <c r="M38" s="137">
        <v>1.0</v>
      </c>
    </row>
    <row r="39">
      <c r="A39" s="137">
        <v>6991.0</v>
      </c>
      <c r="B39" s="136" t="s">
        <v>1125</v>
      </c>
      <c r="C39" s="136" t="s">
        <v>1151</v>
      </c>
      <c r="D39" s="136" t="s">
        <v>1184</v>
      </c>
      <c r="E39" s="136" t="s">
        <v>1170</v>
      </c>
      <c r="F39" s="137">
        <v>1.0</v>
      </c>
      <c r="G39" s="137">
        <v>1.0</v>
      </c>
      <c r="H39" s="137">
        <v>0.0</v>
      </c>
      <c r="I39" s="137">
        <v>1.0</v>
      </c>
      <c r="J39" s="137">
        <v>1.0</v>
      </c>
      <c r="K39" s="137">
        <v>0.0</v>
      </c>
      <c r="L39" s="137">
        <v>1.0</v>
      </c>
      <c r="M39" s="137">
        <v>1.0</v>
      </c>
    </row>
    <row r="40">
      <c r="A40" s="137">
        <v>219.0</v>
      </c>
      <c r="B40" s="136" t="s">
        <v>1125</v>
      </c>
      <c r="C40" s="136" t="s">
        <v>1151</v>
      </c>
      <c r="D40" s="136" t="s">
        <v>1185</v>
      </c>
      <c r="E40" s="136" t="s">
        <v>1170</v>
      </c>
      <c r="F40" s="137">
        <v>1.0</v>
      </c>
      <c r="G40" s="137">
        <v>1.0</v>
      </c>
      <c r="H40" s="137">
        <v>0.0</v>
      </c>
      <c r="I40" s="137">
        <v>1.0</v>
      </c>
      <c r="J40" s="137">
        <v>1.0</v>
      </c>
      <c r="K40" s="137">
        <v>0.0</v>
      </c>
      <c r="L40" s="137">
        <v>1.0</v>
      </c>
      <c r="M40" s="137">
        <v>1.0</v>
      </c>
    </row>
    <row r="41">
      <c r="A41" s="137">
        <v>1926.0</v>
      </c>
      <c r="B41" s="136" t="s">
        <v>1125</v>
      </c>
      <c r="C41" s="136" t="s">
        <v>1151</v>
      </c>
      <c r="D41" s="136" t="s">
        <v>865</v>
      </c>
      <c r="E41" s="136" t="s">
        <v>1161</v>
      </c>
      <c r="F41" s="137">
        <v>1.0</v>
      </c>
      <c r="G41" s="137">
        <v>1.0</v>
      </c>
      <c r="H41" s="137">
        <v>0.0</v>
      </c>
      <c r="I41" s="137">
        <v>1.0</v>
      </c>
      <c r="J41" s="137">
        <v>1.0</v>
      </c>
      <c r="K41" s="137">
        <v>0.0</v>
      </c>
      <c r="L41" s="137">
        <v>1.0</v>
      </c>
      <c r="M41" s="137">
        <v>1.0</v>
      </c>
    </row>
    <row r="42">
      <c r="A42" s="137">
        <v>5116.0</v>
      </c>
      <c r="B42" s="136" t="s">
        <v>1125</v>
      </c>
      <c r="C42" s="136" t="s">
        <v>1151</v>
      </c>
      <c r="D42" s="136" t="s">
        <v>804</v>
      </c>
      <c r="E42" s="136" t="s">
        <v>1161</v>
      </c>
      <c r="F42" s="137">
        <v>1.0</v>
      </c>
      <c r="G42" s="137">
        <v>2.0</v>
      </c>
      <c r="H42" s="137">
        <v>-1.0</v>
      </c>
      <c r="I42" s="137">
        <v>1.0</v>
      </c>
      <c r="J42" s="137">
        <v>2.0</v>
      </c>
      <c r="K42" s="137">
        <v>-1.0</v>
      </c>
      <c r="L42" s="137">
        <v>1.0</v>
      </c>
      <c r="M42" s="137">
        <v>1.0</v>
      </c>
    </row>
    <row r="43">
      <c r="A43" s="137">
        <v>1930.0</v>
      </c>
      <c r="B43" s="136" t="s">
        <v>1125</v>
      </c>
      <c r="C43" s="136" t="s">
        <v>1151</v>
      </c>
      <c r="D43" s="136" t="s">
        <v>553</v>
      </c>
      <c r="E43" s="136" t="s">
        <v>1158</v>
      </c>
      <c r="F43" s="137">
        <v>1.0</v>
      </c>
      <c r="G43" s="137">
        <v>1.0</v>
      </c>
      <c r="H43" s="137">
        <v>0.0</v>
      </c>
      <c r="I43" s="137">
        <v>1.0</v>
      </c>
      <c r="J43" s="137">
        <v>1.0</v>
      </c>
      <c r="K43" s="137">
        <v>0.0</v>
      </c>
      <c r="L43" s="137">
        <v>1.0</v>
      </c>
      <c r="M43" s="137">
        <v>1.0</v>
      </c>
    </row>
    <row r="44">
      <c r="A44" s="137">
        <v>6417.0</v>
      </c>
      <c r="B44" s="136" t="s">
        <v>1125</v>
      </c>
      <c r="C44" s="136" t="s">
        <v>1151</v>
      </c>
      <c r="D44" s="136" t="s">
        <v>1186</v>
      </c>
      <c r="E44" s="136" t="s">
        <v>1157</v>
      </c>
      <c r="F44" s="137">
        <v>1.0</v>
      </c>
      <c r="G44" s="137">
        <v>1.0</v>
      </c>
      <c r="H44" s="137">
        <v>0.0</v>
      </c>
      <c r="I44" s="137">
        <v>1.0</v>
      </c>
      <c r="J44" s="137">
        <v>1.0</v>
      </c>
      <c r="K44" s="137">
        <v>0.0</v>
      </c>
      <c r="L44" s="137">
        <v>1.0</v>
      </c>
      <c r="M44" s="137">
        <v>1.0</v>
      </c>
    </row>
    <row r="45">
      <c r="A45" s="137">
        <v>2401.0</v>
      </c>
      <c r="B45" s="136" t="s">
        <v>1125</v>
      </c>
      <c r="C45" s="136" t="s">
        <v>1151</v>
      </c>
      <c r="D45" s="136" t="s">
        <v>1187</v>
      </c>
      <c r="E45" s="136" t="s">
        <v>1159</v>
      </c>
      <c r="F45" s="137">
        <v>1.0</v>
      </c>
      <c r="G45" s="137">
        <v>1.0</v>
      </c>
      <c r="H45" s="137">
        <v>0.0</v>
      </c>
      <c r="I45" s="137">
        <v>1.0</v>
      </c>
      <c r="J45" s="137">
        <v>1.0</v>
      </c>
      <c r="K45" s="137">
        <v>0.0</v>
      </c>
      <c r="L45" s="137">
        <v>1.0</v>
      </c>
      <c r="M45" s="137">
        <v>1.0</v>
      </c>
    </row>
    <row r="46">
      <c r="A46" s="137">
        <v>6523.0</v>
      </c>
      <c r="B46" s="136" t="s">
        <v>1125</v>
      </c>
      <c r="C46" s="136" t="s">
        <v>1151</v>
      </c>
      <c r="D46" s="136" t="s">
        <v>1188</v>
      </c>
      <c r="E46" s="136" t="s">
        <v>1159</v>
      </c>
      <c r="F46" s="137">
        <v>1.0</v>
      </c>
      <c r="G46" s="137">
        <v>1.0</v>
      </c>
      <c r="H46" s="137">
        <v>0.0</v>
      </c>
      <c r="I46" s="137">
        <v>1.0</v>
      </c>
      <c r="J46" s="137">
        <v>1.0</v>
      </c>
      <c r="K46" s="137">
        <v>0.0</v>
      </c>
      <c r="L46" s="137">
        <v>1.0</v>
      </c>
      <c r="M46" s="137">
        <v>1.0</v>
      </c>
    </row>
    <row r="47">
      <c r="A47" s="137">
        <v>2815.0</v>
      </c>
      <c r="B47" s="136" t="s">
        <v>1125</v>
      </c>
      <c r="C47" s="136" t="s">
        <v>1151</v>
      </c>
      <c r="D47" s="136" t="s">
        <v>555</v>
      </c>
      <c r="E47" s="136" t="s">
        <v>1152</v>
      </c>
      <c r="F47" s="137">
        <v>1.0</v>
      </c>
      <c r="G47" s="137">
        <v>1.0</v>
      </c>
      <c r="H47" s="137">
        <v>0.0</v>
      </c>
      <c r="I47" s="137">
        <v>1.0</v>
      </c>
      <c r="J47" s="137">
        <v>1.0</v>
      </c>
      <c r="K47" s="137">
        <v>0.0</v>
      </c>
      <c r="L47" s="137">
        <v>1.0</v>
      </c>
      <c r="M47" s="137">
        <v>1.0</v>
      </c>
    </row>
    <row r="48">
      <c r="A48" s="137">
        <v>6813.0</v>
      </c>
      <c r="B48" s="136" t="s">
        <v>1125</v>
      </c>
      <c r="C48" s="136" t="s">
        <v>1151</v>
      </c>
      <c r="D48" s="136" t="s">
        <v>1189</v>
      </c>
      <c r="E48" s="136" t="s">
        <v>1152</v>
      </c>
      <c r="F48" s="137">
        <v>1.0</v>
      </c>
      <c r="G48" s="137">
        <v>1.0</v>
      </c>
      <c r="H48" s="137">
        <v>0.0</v>
      </c>
      <c r="I48" s="137">
        <v>1.0</v>
      </c>
      <c r="J48" s="137">
        <v>1.0</v>
      </c>
      <c r="K48" s="137">
        <v>0.0</v>
      </c>
      <c r="L48" s="137">
        <v>1.0</v>
      </c>
      <c r="M48" s="137">
        <v>1.0</v>
      </c>
    </row>
    <row r="49">
      <c r="A49" s="137">
        <v>2845.0</v>
      </c>
      <c r="B49" s="136" t="s">
        <v>1125</v>
      </c>
      <c r="C49" s="136" t="s">
        <v>1151</v>
      </c>
      <c r="D49" s="136" t="s">
        <v>686</v>
      </c>
      <c r="E49" s="136" t="s">
        <v>1155</v>
      </c>
      <c r="F49" s="137">
        <v>1.0</v>
      </c>
      <c r="G49" s="137">
        <v>1.0</v>
      </c>
      <c r="H49" s="137">
        <v>0.0</v>
      </c>
      <c r="I49" s="137">
        <v>1.0</v>
      </c>
      <c r="J49" s="137">
        <v>1.0</v>
      </c>
      <c r="K49" s="137">
        <v>0.0</v>
      </c>
      <c r="L49" s="137">
        <v>1.0</v>
      </c>
      <c r="M49" s="137">
        <v>1.0</v>
      </c>
    </row>
    <row r="50">
      <c r="A50" s="137">
        <v>2271.0</v>
      </c>
      <c r="B50" s="136" t="s">
        <v>1125</v>
      </c>
      <c r="C50" s="136" t="s">
        <v>1151</v>
      </c>
      <c r="D50" s="136" t="s">
        <v>1190</v>
      </c>
      <c r="E50" s="136" t="s">
        <v>1172</v>
      </c>
      <c r="F50" s="137">
        <v>1.0</v>
      </c>
      <c r="G50" s="137">
        <v>1.0</v>
      </c>
      <c r="H50" s="137">
        <v>0.0</v>
      </c>
      <c r="I50" s="137">
        <v>1.0</v>
      </c>
      <c r="J50" s="137">
        <v>1.0</v>
      </c>
      <c r="K50" s="137">
        <v>0.0</v>
      </c>
      <c r="L50" s="137">
        <v>1.0</v>
      </c>
      <c r="M50" s="137">
        <v>1.0</v>
      </c>
    </row>
    <row r="51">
      <c r="A51" s="137">
        <v>7169.0</v>
      </c>
      <c r="B51" s="136" t="s">
        <v>1125</v>
      </c>
      <c r="C51" s="136" t="s">
        <v>1151</v>
      </c>
      <c r="D51" s="136" t="s">
        <v>1191</v>
      </c>
      <c r="E51" s="136" t="s">
        <v>1153</v>
      </c>
      <c r="F51" s="137">
        <v>1.0</v>
      </c>
      <c r="G51" s="137">
        <v>1.0</v>
      </c>
      <c r="H51" s="137">
        <v>0.0</v>
      </c>
      <c r="I51" s="137">
        <v>1.0</v>
      </c>
      <c r="J51" s="137">
        <v>1.0</v>
      </c>
      <c r="K51" s="137">
        <v>0.0</v>
      </c>
      <c r="L51" s="137">
        <v>1.0</v>
      </c>
      <c r="M51" s="137">
        <v>1.0</v>
      </c>
    </row>
    <row r="52">
      <c r="A52" s="137">
        <v>610.0</v>
      </c>
      <c r="B52" s="136" t="s">
        <v>1125</v>
      </c>
      <c r="C52" s="136" t="s">
        <v>1151</v>
      </c>
      <c r="D52" s="136" t="s">
        <v>675</v>
      </c>
      <c r="E52" s="136" t="s">
        <v>1153</v>
      </c>
      <c r="F52" s="137">
        <v>1.0</v>
      </c>
      <c r="G52" s="137">
        <v>1.0</v>
      </c>
      <c r="H52" s="137">
        <v>0.0</v>
      </c>
      <c r="I52" s="137">
        <v>1.0</v>
      </c>
      <c r="J52" s="137">
        <v>1.0</v>
      </c>
      <c r="K52" s="137">
        <v>0.0</v>
      </c>
      <c r="L52" s="137">
        <v>1.0</v>
      </c>
      <c r="M52" s="137">
        <v>1.0</v>
      </c>
    </row>
    <row r="53">
      <c r="A53" s="137">
        <v>2127.0</v>
      </c>
      <c r="B53" s="136" t="s">
        <v>1125</v>
      </c>
      <c r="C53" s="136" t="s">
        <v>1151</v>
      </c>
      <c r="D53" s="136" t="s">
        <v>1192</v>
      </c>
      <c r="E53" s="136" t="s">
        <v>1164</v>
      </c>
      <c r="F53" s="137">
        <v>1.0</v>
      </c>
      <c r="G53" s="137">
        <v>1.0</v>
      </c>
      <c r="H53" s="137">
        <v>0.0</v>
      </c>
      <c r="I53" s="137">
        <v>1.0</v>
      </c>
      <c r="J53" s="137">
        <v>1.0</v>
      </c>
      <c r="K53" s="137">
        <v>0.0</v>
      </c>
      <c r="L53" s="137">
        <v>1.0</v>
      </c>
      <c r="M53" s="137">
        <v>1.0</v>
      </c>
    </row>
    <row r="54">
      <c r="A54" s="137">
        <v>4867.0</v>
      </c>
      <c r="B54" s="136" t="s">
        <v>1125</v>
      </c>
      <c r="C54" s="136" t="s">
        <v>1151</v>
      </c>
      <c r="D54" s="136" t="s">
        <v>801</v>
      </c>
      <c r="E54" s="136" t="s">
        <v>1164</v>
      </c>
      <c r="F54" s="137">
        <v>1.0</v>
      </c>
      <c r="G54" s="137">
        <v>7.0</v>
      </c>
      <c r="H54" s="137">
        <v>-6.0</v>
      </c>
      <c r="I54" s="137">
        <v>1.0</v>
      </c>
      <c r="J54" s="137">
        <v>7.0</v>
      </c>
      <c r="K54" s="137">
        <v>-6.0</v>
      </c>
      <c r="L54" s="137">
        <v>1.0</v>
      </c>
      <c r="M54" s="137">
        <v>1.0</v>
      </c>
    </row>
    <row r="55">
      <c r="A55" s="137">
        <v>6842.0</v>
      </c>
      <c r="B55" s="136" t="s">
        <v>1125</v>
      </c>
      <c r="C55" s="136" t="s">
        <v>1151</v>
      </c>
      <c r="D55" s="136" t="s">
        <v>1073</v>
      </c>
      <c r="E55" s="136" t="s">
        <v>1168</v>
      </c>
      <c r="F55" s="137">
        <v>1.0</v>
      </c>
      <c r="G55" s="137">
        <v>4.0</v>
      </c>
      <c r="H55" s="137">
        <v>-3.0</v>
      </c>
      <c r="I55" s="137">
        <v>1.0</v>
      </c>
      <c r="J55" s="137">
        <v>4.0</v>
      </c>
      <c r="K55" s="137">
        <v>-3.0</v>
      </c>
      <c r="L55" s="137">
        <v>1.0</v>
      </c>
      <c r="M55" s="137">
        <v>1.0</v>
      </c>
    </row>
    <row r="56">
      <c r="A56" s="137">
        <v>6125.0</v>
      </c>
      <c r="B56" s="136" t="s">
        <v>1125</v>
      </c>
      <c r="C56" s="136" t="s">
        <v>1151</v>
      </c>
      <c r="D56" s="136" t="s">
        <v>924</v>
      </c>
      <c r="E56" s="136" t="s">
        <v>1153</v>
      </c>
      <c r="F56" s="137">
        <v>1.0</v>
      </c>
      <c r="G56" s="137">
        <v>1.0</v>
      </c>
      <c r="H56" s="137">
        <v>0.0</v>
      </c>
      <c r="I56" s="137">
        <v>1.0</v>
      </c>
      <c r="J56" s="137">
        <v>1.0</v>
      </c>
      <c r="K56" s="137">
        <v>0.0</v>
      </c>
      <c r="L56" s="137">
        <v>1.0</v>
      </c>
      <c r="M56" s="137">
        <v>1.0</v>
      </c>
    </row>
    <row r="57">
      <c r="A57" s="137">
        <v>7185.0</v>
      </c>
      <c r="B57" s="136" t="s">
        <v>1125</v>
      </c>
      <c r="C57" s="136" t="s">
        <v>1151</v>
      </c>
      <c r="D57" s="136" t="s">
        <v>1193</v>
      </c>
      <c r="E57" s="136" t="s">
        <v>1168</v>
      </c>
      <c r="F57" s="137">
        <v>1.0</v>
      </c>
      <c r="G57" s="137">
        <v>1.0</v>
      </c>
      <c r="H57" s="137">
        <v>0.0</v>
      </c>
      <c r="I57" s="137">
        <v>1.0</v>
      </c>
      <c r="J57" s="137">
        <v>1.0</v>
      </c>
      <c r="K57" s="137">
        <v>0.0</v>
      </c>
      <c r="L57" s="137">
        <v>1.0</v>
      </c>
      <c r="M57" s="137">
        <v>1.0</v>
      </c>
    </row>
    <row r="58">
      <c r="A58" s="137">
        <v>158.0</v>
      </c>
      <c r="B58" s="136" t="s">
        <v>1125</v>
      </c>
      <c r="C58" s="136" t="s">
        <v>1151</v>
      </c>
      <c r="D58" s="136" t="s">
        <v>1194</v>
      </c>
      <c r="E58" s="136" t="s">
        <v>1165</v>
      </c>
      <c r="F58" s="137">
        <v>1.0</v>
      </c>
      <c r="G58" s="137">
        <v>1.0</v>
      </c>
      <c r="H58" s="137">
        <v>0.0</v>
      </c>
      <c r="I58" s="137">
        <v>1.0</v>
      </c>
      <c r="J58" s="137">
        <v>1.0</v>
      </c>
      <c r="K58" s="137">
        <v>0.0</v>
      </c>
      <c r="L58" s="137">
        <v>1.0</v>
      </c>
      <c r="M58" s="137">
        <v>1.0</v>
      </c>
    </row>
    <row r="59">
      <c r="A59" s="137">
        <v>2211.0</v>
      </c>
      <c r="B59" s="136" t="s">
        <v>1125</v>
      </c>
      <c r="C59" s="136" t="s">
        <v>1151</v>
      </c>
      <c r="D59" s="136" t="s">
        <v>674</v>
      </c>
      <c r="E59" s="136" t="s">
        <v>1160</v>
      </c>
      <c r="F59" s="137">
        <v>1.0</v>
      </c>
      <c r="G59" s="137">
        <v>1.0</v>
      </c>
      <c r="H59" s="137">
        <v>0.0</v>
      </c>
      <c r="I59" s="137">
        <v>1.0</v>
      </c>
      <c r="J59" s="137">
        <v>1.0</v>
      </c>
      <c r="K59" s="137">
        <v>0.0</v>
      </c>
      <c r="L59" s="137">
        <v>1.0</v>
      </c>
      <c r="M59" s="137">
        <v>1.0</v>
      </c>
    </row>
    <row r="60">
      <c r="A60" s="137">
        <v>7236.0</v>
      </c>
      <c r="B60" s="136" t="s">
        <v>1125</v>
      </c>
      <c r="C60" s="136" t="s">
        <v>1151</v>
      </c>
      <c r="D60" s="136" t="s">
        <v>1195</v>
      </c>
      <c r="E60" s="136" t="s">
        <v>1173</v>
      </c>
      <c r="F60" s="137">
        <v>1.0</v>
      </c>
      <c r="G60" s="137">
        <v>1.0</v>
      </c>
      <c r="H60" s="137">
        <v>0.0</v>
      </c>
      <c r="I60" s="137">
        <v>1.0</v>
      </c>
      <c r="J60" s="137">
        <v>1.0</v>
      </c>
      <c r="K60" s="137">
        <v>0.0</v>
      </c>
      <c r="L60" s="137">
        <v>1.0</v>
      </c>
      <c r="M60" s="137">
        <v>1.0</v>
      </c>
    </row>
    <row r="61">
      <c r="A61" s="137">
        <v>7261.0</v>
      </c>
      <c r="B61" s="136" t="s">
        <v>1125</v>
      </c>
      <c r="C61" s="136" t="s">
        <v>1151</v>
      </c>
      <c r="D61" s="136" t="s">
        <v>1196</v>
      </c>
      <c r="E61" s="136" t="s">
        <v>1156</v>
      </c>
      <c r="F61" s="137">
        <v>1.0</v>
      </c>
      <c r="G61" s="137">
        <v>1.0</v>
      </c>
      <c r="H61" s="137">
        <v>0.0</v>
      </c>
      <c r="I61" s="137">
        <v>1.0</v>
      </c>
      <c r="J61" s="137">
        <v>1.0</v>
      </c>
      <c r="K61" s="137">
        <v>0.0</v>
      </c>
      <c r="L61" s="137">
        <v>1.0</v>
      </c>
      <c r="M61" s="137">
        <v>1.0</v>
      </c>
    </row>
    <row r="62">
      <c r="A62" s="137">
        <v>7285.0</v>
      </c>
      <c r="B62" s="136" t="s">
        <v>1125</v>
      </c>
      <c r="C62" s="136" t="s">
        <v>1151</v>
      </c>
      <c r="D62" s="136" t="s">
        <v>1197</v>
      </c>
      <c r="E62" s="136" t="s">
        <v>1155</v>
      </c>
      <c r="F62" s="137">
        <v>1.0</v>
      </c>
      <c r="G62" s="137">
        <v>1.0</v>
      </c>
      <c r="H62" s="137">
        <v>0.0</v>
      </c>
      <c r="I62" s="137">
        <v>1.0</v>
      </c>
      <c r="J62" s="137">
        <v>1.0</v>
      </c>
      <c r="K62" s="137">
        <v>0.0</v>
      </c>
      <c r="L62" s="137">
        <v>1.0</v>
      </c>
      <c r="M62" s="137">
        <v>1.0</v>
      </c>
    </row>
    <row r="63">
      <c r="A63" s="137">
        <v>7042.0</v>
      </c>
      <c r="B63" s="136" t="s">
        <v>1125</v>
      </c>
      <c r="C63" s="136" t="s">
        <v>1151</v>
      </c>
      <c r="D63" s="136" t="s">
        <v>1198</v>
      </c>
      <c r="E63" s="136" t="s">
        <v>1161</v>
      </c>
      <c r="F63" s="137">
        <v>1.0</v>
      </c>
      <c r="G63" s="137">
        <v>1.0</v>
      </c>
      <c r="H63" s="137">
        <v>0.0</v>
      </c>
      <c r="I63" s="137">
        <v>1.0</v>
      </c>
      <c r="J63" s="137">
        <v>1.0</v>
      </c>
      <c r="K63" s="137">
        <v>0.0</v>
      </c>
      <c r="L63" s="137">
        <v>1.0</v>
      </c>
      <c r="M63" s="137">
        <v>1.0</v>
      </c>
    </row>
    <row r="64">
      <c r="A64" s="137">
        <v>7301.0</v>
      </c>
      <c r="B64" s="136" t="s">
        <v>1125</v>
      </c>
      <c r="C64" s="136" t="s">
        <v>1151</v>
      </c>
      <c r="D64" s="136" t="s">
        <v>1199</v>
      </c>
      <c r="E64" s="136" t="s">
        <v>1156</v>
      </c>
      <c r="F64" s="137">
        <v>1.0</v>
      </c>
      <c r="G64" s="137">
        <v>1.0</v>
      </c>
      <c r="H64" s="137">
        <v>0.0</v>
      </c>
      <c r="I64" s="137">
        <v>1.0</v>
      </c>
      <c r="J64" s="137">
        <v>1.0</v>
      </c>
      <c r="K64" s="137">
        <v>0.0</v>
      </c>
      <c r="L64" s="137">
        <v>1.0</v>
      </c>
      <c r="M64" s="137">
        <v>1.0</v>
      </c>
    </row>
    <row r="65">
      <c r="A65" s="137">
        <v>6650.0</v>
      </c>
      <c r="B65" s="136" t="s">
        <v>1125</v>
      </c>
      <c r="C65" s="136" t="s">
        <v>1151</v>
      </c>
      <c r="D65" s="136" t="s">
        <v>1200</v>
      </c>
      <c r="E65" s="136" t="s">
        <v>1162</v>
      </c>
      <c r="F65" s="137">
        <v>1.0</v>
      </c>
      <c r="G65" s="137">
        <v>1.0</v>
      </c>
      <c r="H65" s="137">
        <v>0.0</v>
      </c>
      <c r="I65" s="137">
        <v>1.0</v>
      </c>
      <c r="J65" s="137">
        <v>1.0</v>
      </c>
      <c r="K65" s="137">
        <v>0.0</v>
      </c>
      <c r="L65" s="137">
        <v>1.0</v>
      </c>
      <c r="M65" s="137">
        <v>1.0</v>
      </c>
    </row>
    <row r="66">
      <c r="A66" s="137">
        <v>7337.0</v>
      </c>
      <c r="B66" s="136" t="s">
        <v>1125</v>
      </c>
      <c r="C66" s="136" t="s">
        <v>1151</v>
      </c>
      <c r="D66" s="136" t="s">
        <v>1201</v>
      </c>
      <c r="E66" s="136" t="s">
        <v>1157</v>
      </c>
      <c r="F66" s="137">
        <v>1.0</v>
      </c>
      <c r="G66" s="137">
        <v>1.0</v>
      </c>
      <c r="H66" s="137">
        <v>0.0</v>
      </c>
      <c r="I66" s="137">
        <v>1.0</v>
      </c>
      <c r="J66" s="137">
        <v>1.0</v>
      </c>
      <c r="K66" s="137">
        <v>0.0</v>
      </c>
      <c r="L66" s="137">
        <v>1.0</v>
      </c>
      <c r="M66" s="137">
        <v>1.0</v>
      </c>
    </row>
    <row r="67">
      <c r="A67" s="137">
        <v>254.0</v>
      </c>
      <c r="B67" s="136" t="s">
        <v>1126</v>
      </c>
      <c r="C67" s="136" t="s">
        <v>1202</v>
      </c>
      <c r="D67" s="136" t="s">
        <v>582</v>
      </c>
      <c r="E67" s="136" t="s">
        <v>1161</v>
      </c>
      <c r="F67" s="137">
        <v>31.0</v>
      </c>
      <c r="G67" s="137">
        <v>19.0</v>
      </c>
      <c r="H67" s="137">
        <v>12.0</v>
      </c>
      <c r="I67" s="137">
        <v>31.0</v>
      </c>
      <c r="J67" s="137">
        <v>18.0</v>
      </c>
      <c r="K67" s="137">
        <v>13.0</v>
      </c>
      <c r="L67" s="137">
        <v>165.0</v>
      </c>
      <c r="M67" s="137">
        <v>165.0</v>
      </c>
    </row>
    <row r="68">
      <c r="A68" s="137">
        <v>1852.0</v>
      </c>
      <c r="B68" s="136" t="s">
        <v>1126</v>
      </c>
      <c r="C68" s="136" t="s">
        <v>1203</v>
      </c>
      <c r="D68" s="136" t="s">
        <v>691</v>
      </c>
      <c r="E68" s="136" t="s">
        <v>1155</v>
      </c>
      <c r="F68" s="137">
        <v>20.0</v>
      </c>
      <c r="G68" s="137">
        <v>7.0</v>
      </c>
      <c r="H68" s="137">
        <v>13.0</v>
      </c>
      <c r="I68" s="137">
        <v>20.0</v>
      </c>
      <c r="J68" s="137">
        <v>7.0</v>
      </c>
      <c r="K68" s="137">
        <v>13.0</v>
      </c>
      <c r="L68" s="137">
        <v>50.0</v>
      </c>
      <c r="M68" s="137">
        <v>50.0</v>
      </c>
    </row>
    <row r="69">
      <c r="A69" s="137">
        <v>6832.0</v>
      </c>
      <c r="B69" s="136" t="s">
        <v>1126</v>
      </c>
      <c r="C69" s="136" t="s">
        <v>1202</v>
      </c>
      <c r="D69" s="136" t="s">
        <v>1030</v>
      </c>
      <c r="E69" s="136" t="s">
        <v>1162</v>
      </c>
      <c r="F69" s="137">
        <v>17.0</v>
      </c>
      <c r="G69" s="137">
        <v>3.0</v>
      </c>
      <c r="H69" s="137">
        <v>14.0</v>
      </c>
      <c r="I69" s="137">
        <v>17.0</v>
      </c>
      <c r="J69" s="137">
        <v>2.0</v>
      </c>
      <c r="K69" s="137">
        <v>15.0</v>
      </c>
      <c r="L69" s="137">
        <v>70.0</v>
      </c>
      <c r="M69" s="137">
        <v>70.0</v>
      </c>
    </row>
    <row r="70">
      <c r="A70" s="137">
        <v>2120.0</v>
      </c>
      <c r="B70" s="136" t="s">
        <v>1126</v>
      </c>
      <c r="C70" s="136" t="s">
        <v>1204</v>
      </c>
      <c r="D70" s="136" t="s">
        <v>699</v>
      </c>
      <c r="E70" s="136" t="s">
        <v>1161</v>
      </c>
      <c r="F70" s="137">
        <v>17.0</v>
      </c>
      <c r="G70" s="137">
        <v>16.0</v>
      </c>
      <c r="H70" s="137">
        <v>1.0</v>
      </c>
      <c r="I70" s="137">
        <v>17.0</v>
      </c>
      <c r="J70" s="137">
        <v>16.0</v>
      </c>
      <c r="K70" s="137">
        <v>1.0</v>
      </c>
      <c r="L70" s="137">
        <v>57.0</v>
      </c>
      <c r="M70" s="137">
        <v>57.0</v>
      </c>
    </row>
    <row r="71">
      <c r="A71" s="137">
        <v>6893.0</v>
      </c>
      <c r="B71" s="136" t="s">
        <v>1126</v>
      </c>
      <c r="C71" s="136" t="s">
        <v>1204</v>
      </c>
      <c r="D71" s="136" t="s">
        <v>1205</v>
      </c>
      <c r="E71" s="136" t="s">
        <v>1156</v>
      </c>
      <c r="F71" s="137">
        <v>16.0</v>
      </c>
      <c r="G71" s="137">
        <v>5.0</v>
      </c>
      <c r="H71" s="137">
        <v>11.0</v>
      </c>
      <c r="I71" s="137">
        <v>16.0</v>
      </c>
      <c r="J71" s="137">
        <v>5.0</v>
      </c>
      <c r="K71" s="137">
        <v>11.0</v>
      </c>
      <c r="L71" s="137">
        <v>20.0</v>
      </c>
      <c r="M71" s="137">
        <v>20.0</v>
      </c>
    </row>
    <row r="72">
      <c r="A72" s="137">
        <v>7181.0</v>
      </c>
      <c r="B72" s="136" t="s">
        <v>1126</v>
      </c>
      <c r="C72" s="136" t="s">
        <v>1202</v>
      </c>
      <c r="D72" s="136" t="s">
        <v>1075</v>
      </c>
      <c r="E72" s="136" t="s">
        <v>1153</v>
      </c>
      <c r="F72" s="137">
        <v>16.0</v>
      </c>
      <c r="G72" s="137">
        <v>14.0</v>
      </c>
      <c r="H72" s="137">
        <v>2.0</v>
      </c>
      <c r="I72" s="137">
        <v>16.0</v>
      </c>
      <c r="J72" s="137">
        <v>13.0</v>
      </c>
      <c r="K72" s="137">
        <v>3.0</v>
      </c>
      <c r="L72" s="137">
        <v>49.0</v>
      </c>
      <c r="M72" s="137">
        <v>49.0</v>
      </c>
    </row>
    <row r="73">
      <c r="A73" s="137">
        <v>5022.0</v>
      </c>
      <c r="B73" s="136" t="s">
        <v>1126</v>
      </c>
      <c r="C73" s="136" t="s">
        <v>1204</v>
      </c>
      <c r="D73" s="136" t="s">
        <v>925</v>
      </c>
      <c r="E73" s="136" t="s">
        <v>1152</v>
      </c>
      <c r="F73" s="137">
        <v>15.0</v>
      </c>
      <c r="G73" s="137">
        <v>7.0</v>
      </c>
      <c r="H73" s="137">
        <v>8.0</v>
      </c>
      <c r="I73" s="137">
        <v>15.0</v>
      </c>
      <c r="J73" s="137">
        <v>7.0</v>
      </c>
      <c r="K73" s="137">
        <v>8.0</v>
      </c>
      <c r="L73" s="137">
        <v>32.0</v>
      </c>
      <c r="M73" s="137">
        <v>32.0</v>
      </c>
    </row>
    <row r="74">
      <c r="A74" s="137">
        <v>5750.0</v>
      </c>
      <c r="B74" s="136" t="s">
        <v>1126</v>
      </c>
      <c r="C74" s="136" t="s">
        <v>1204</v>
      </c>
      <c r="D74" s="136" t="s">
        <v>1083</v>
      </c>
      <c r="E74" s="136" t="s">
        <v>1170</v>
      </c>
      <c r="F74" s="137">
        <v>15.0</v>
      </c>
      <c r="G74" s="137">
        <v>5.0</v>
      </c>
      <c r="H74" s="137">
        <v>10.0</v>
      </c>
      <c r="I74" s="137">
        <v>15.0</v>
      </c>
      <c r="J74" s="137">
        <v>5.0</v>
      </c>
      <c r="K74" s="137">
        <v>10.0</v>
      </c>
      <c r="L74" s="137">
        <v>26.0</v>
      </c>
      <c r="M74" s="137">
        <v>26.0</v>
      </c>
    </row>
    <row r="75">
      <c r="A75" s="137">
        <v>2593.0</v>
      </c>
      <c r="B75" s="136" t="s">
        <v>1126</v>
      </c>
      <c r="C75" s="136" t="s">
        <v>1203</v>
      </c>
      <c r="D75" s="136" t="s">
        <v>877</v>
      </c>
      <c r="E75" s="136" t="s">
        <v>1170</v>
      </c>
      <c r="F75" s="137">
        <v>14.0</v>
      </c>
      <c r="G75" s="137">
        <v>10.0</v>
      </c>
      <c r="H75" s="137">
        <v>4.0</v>
      </c>
      <c r="I75" s="137">
        <v>14.0</v>
      </c>
      <c r="J75" s="137">
        <v>10.0</v>
      </c>
      <c r="K75" s="137">
        <v>4.0</v>
      </c>
      <c r="L75" s="137">
        <v>31.0</v>
      </c>
      <c r="M75" s="137">
        <v>31.0</v>
      </c>
    </row>
    <row r="76">
      <c r="A76" s="137">
        <v>2788.0</v>
      </c>
      <c r="B76" s="136" t="s">
        <v>1126</v>
      </c>
      <c r="C76" s="136" t="s">
        <v>1204</v>
      </c>
      <c r="D76" s="136" t="s">
        <v>558</v>
      </c>
      <c r="E76" s="136" t="s">
        <v>1158</v>
      </c>
      <c r="F76" s="137">
        <v>14.0</v>
      </c>
      <c r="G76" s="137">
        <v>13.0</v>
      </c>
      <c r="H76" s="137">
        <v>1.0</v>
      </c>
      <c r="I76" s="137">
        <v>14.0</v>
      </c>
      <c r="J76" s="137">
        <v>13.0</v>
      </c>
      <c r="K76" s="137">
        <v>1.0</v>
      </c>
      <c r="L76" s="137">
        <v>59.0</v>
      </c>
      <c r="M76" s="137">
        <v>58.0</v>
      </c>
    </row>
    <row r="77">
      <c r="A77" s="137">
        <v>4657.0</v>
      </c>
      <c r="B77" s="136" t="s">
        <v>1126</v>
      </c>
      <c r="C77" s="136" t="s">
        <v>1206</v>
      </c>
      <c r="D77" s="136" t="s">
        <v>584</v>
      </c>
      <c r="E77" s="136" t="s">
        <v>1153</v>
      </c>
      <c r="F77" s="137">
        <v>14.0</v>
      </c>
      <c r="G77" s="137">
        <v>7.0</v>
      </c>
      <c r="H77" s="137">
        <v>7.0</v>
      </c>
      <c r="I77" s="137">
        <v>14.0</v>
      </c>
      <c r="J77" s="137">
        <v>8.0</v>
      </c>
      <c r="K77" s="137">
        <v>6.0</v>
      </c>
      <c r="L77" s="137">
        <v>14.0</v>
      </c>
      <c r="M77" s="137">
        <v>17.0</v>
      </c>
    </row>
    <row r="78">
      <c r="A78" s="137">
        <v>5526.0</v>
      </c>
      <c r="B78" s="136" t="s">
        <v>1126</v>
      </c>
      <c r="C78" s="136" t="s">
        <v>1204</v>
      </c>
      <c r="D78" s="136" t="s">
        <v>723</v>
      </c>
      <c r="E78" s="136" t="s">
        <v>1154</v>
      </c>
      <c r="F78" s="137">
        <v>13.0</v>
      </c>
      <c r="G78" s="137">
        <v>8.0</v>
      </c>
      <c r="H78" s="137">
        <v>5.0</v>
      </c>
      <c r="I78" s="137">
        <v>13.0</v>
      </c>
      <c r="J78" s="137">
        <v>8.0</v>
      </c>
      <c r="K78" s="137">
        <v>5.0</v>
      </c>
      <c r="L78" s="137">
        <v>17.0</v>
      </c>
      <c r="M78" s="137">
        <v>17.0</v>
      </c>
    </row>
    <row r="79">
      <c r="A79" s="137">
        <v>5678.0</v>
      </c>
      <c r="B79" s="136" t="s">
        <v>1126</v>
      </c>
      <c r="C79" s="136" t="s">
        <v>1207</v>
      </c>
      <c r="D79" s="136" t="s">
        <v>1208</v>
      </c>
      <c r="E79" s="136" t="s">
        <v>1158</v>
      </c>
      <c r="F79" s="137">
        <v>13.0</v>
      </c>
      <c r="G79" s="137">
        <v>8.0</v>
      </c>
      <c r="H79" s="137">
        <v>5.0</v>
      </c>
      <c r="I79" s="137">
        <v>13.0</v>
      </c>
      <c r="J79" s="137">
        <v>8.0</v>
      </c>
      <c r="K79" s="137">
        <v>5.0</v>
      </c>
      <c r="L79" s="137">
        <v>20.0</v>
      </c>
      <c r="M79" s="137">
        <v>20.0</v>
      </c>
    </row>
    <row r="80">
      <c r="A80" s="137">
        <v>5877.0</v>
      </c>
      <c r="B80" s="136" t="s">
        <v>1126</v>
      </c>
      <c r="C80" s="136" t="s">
        <v>1209</v>
      </c>
      <c r="D80" s="136" t="s">
        <v>717</v>
      </c>
      <c r="E80" s="136" t="s">
        <v>1161</v>
      </c>
      <c r="F80" s="137">
        <v>13.0</v>
      </c>
      <c r="G80" s="137">
        <v>10.0</v>
      </c>
      <c r="H80" s="137">
        <v>3.0</v>
      </c>
      <c r="I80" s="137">
        <v>14.0</v>
      </c>
      <c r="J80" s="137">
        <v>11.0</v>
      </c>
      <c r="K80" s="137">
        <v>3.0</v>
      </c>
      <c r="L80" s="137">
        <v>18.0</v>
      </c>
      <c r="M80" s="137">
        <v>21.0</v>
      </c>
    </row>
    <row r="81">
      <c r="A81" s="137">
        <v>5835.0</v>
      </c>
      <c r="B81" s="136" t="s">
        <v>1126</v>
      </c>
      <c r="C81" s="136" t="s">
        <v>1204</v>
      </c>
      <c r="D81" s="136" t="s">
        <v>869</v>
      </c>
      <c r="E81" s="136" t="s">
        <v>1160</v>
      </c>
      <c r="F81" s="137">
        <v>13.0</v>
      </c>
      <c r="G81" s="137">
        <v>8.0</v>
      </c>
      <c r="H81" s="137">
        <v>5.0</v>
      </c>
      <c r="I81" s="137">
        <v>13.0</v>
      </c>
      <c r="J81" s="137">
        <v>8.0</v>
      </c>
      <c r="K81" s="137">
        <v>5.0</v>
      </c>
      <c r="L81" s="137">
        <v>23.0</v>
      </c>
      <c r="M81" s="137">
        <v>23.0</v>
      </c>
    </row>
    <row r="82">
      <c r="A82" s="137">
        <v>6496.0</v>
      </c>
      <c r="B82" s="136" t="s">
        <v>1126</v>
      </c>
      <c r="C82" s="136" t="s">
        <v>1203</v>
      </c>
      <c r="D82" s="136" t="s">
        <v>1210</v>
      </c>
      <c r="E82" s="136" t="s">
        <v>1152</v>
      </c>
      <c r="F82" s="137">
        <v>13.0</v>
      </c>
      <c r="G82" s="137">
        <v>3.0</v>
      </c>
      <c r="H82" s="137">
        <v>10.0</v>
      </c>
      <c r="I82" s="137">
        <v>13.0</v>
      </c>
      <c r="J82" s="137">
        <v>3.0</v>
      </c>
      <c r="K82" s="137">
        <v>10.0</v>
      </c>
      <c r="L82" s="137">
        <v>27.0</v>
      </c>
      <c r="M82" s="137">
        <v>27.0</v>
      </c>
    </row>
    <row r="83">
      <c r="A83" s="137">
        <v>4994.0</v>
      </c>
      <c r="B83" s="136" t="s">
        <v>1126</v>
      </c>
      <c r="C83" s="136" t="s">
        <v>1207</v>
      </c>
      <c r="D83" s="136" t="s">
        <v>580</v>
      </c>
      <c r="E83" s="136" t="s">
        <v>1156</v>
      </c>
      <c r="F83" s="137">
        <v>12.0</v>
      </c>
      <c r="G83" s="137">
        <v>6.0</v>
      </c>
      <c r="H83" s="137">
        <v>6.0</v>
      </c>
      <c r="I83" s="137">
        <v>12.0</v>
      </c>
      <c r="J83" s="137">
        <v>6.0</v>
      </c>
      <c r="K83" s="137">
        <v>6.0</v>
      </c>
      <c r="L83" s="137">
        <v>11.0</v>
      </c>
      <c r="M83" s="137">
        <v>11.0</v>
      </c>
    </row>
    <row r="84">
      <c r="A84" s="137">
        <v>6217.0</v>
      </c>
      <c r="B84" s="136" t="s">
        <v>1126</v>
      </c>
      <c r="C84" s="136" t="s">
        <v>1204</v>
      </c>
      <c r="D84" s="136" t="s">
        <v>936</v>
      </c>
      <c r="E84" s="136" t="s">
        <v>1161</v>
      </c>
      <c r="F84" s="137">
        <v>12.0</v>
      </c>
      <c r="G84" s="137">
        <v>9.0</v>
      </c>
      <c r="H84" s="137">
        <v>3.0</v>
      </c>
      <c r="I84" s="137">
        <v>12.0</v>
      </c>
      <c r="J84" s="137">
        <v>9.0</v>
      </c>
      <c r="K84" s="137">
        <v>3.0</v>
      </c>
      <c r="L84" s="137">
        <v>30.0</v>
      </c>
      <c r="M84" s="137">
        <v>30.0</v>
      </c>
    </row>
    <row r="85">
      <c r="A85" s="137">
        <v>4976.0</v>
      </c>
      <c r="B85" s="136" t="s">
        <v>1126</v>
      </c>
      <c r="C85" s="136" t="s">
        <v>1211</v>
      </c>
      <c r="D85" s="136" t="s">
        <v>568</v>
      </c>
      <c r="E85" s="136" t="s">
        <v>1158</v>
      </c>
      <c r="F85" s="137">
        <v>12.0</v>
      </c>
      <c r="G85" s="137">
        <v>9.0</v>
      </c>
      <c r="H85" s="137">
        <v>3.0</v>
      </c>
      <c r="I85" s="137">
        <v>12.0</v>
      </c>
      <c r="J85" s="137">
        <v>10.0</v>
      </c>
      <c r="K85" s="137">
        <v>2.0</v>
      </c>
      <c r="L85" s="137">
        <v>45.0</v>
      </c>
      <c r="M85" s="137">
        <v>47.0</v>
      </c>
    </row>
    <row r="86">
      <c r="A86" s="137">
        <v>4409.0</v>
      </c>
      <c r="B86" s="136" t="s">
        <v>1126</v>
      </c>
      <c r="C86" s="136" t="s">
        <v>1204</v>
      </c>
      <c r="D86" s="136" t="s">
        <v>566</v>
      </c>
      <c r="E86" s="136" t="s">
        <v>1155</v>
      </c>
      <c r="F86" s="137">
        <v>12.0</v>
      </c>
      <c r="G86" s="137">
        <v>11.0</v>
      </c>
      <c r="H86" s="137">
        <v>1.0</v>
      </c>
      <c r="I86" s="137">
        <v>12.0</v>
      </c>
      <c r="J86" s="137">
        <v>11.0</v>
      </c>
      <c r="K86" s="137">
        <v>1.0</v>
      </c>
      <c r="L86" s="137">
        <v>34.0</v>
      </c>
      <c r="M86" s="137">
        <v>34.0</v>
      </c>
    </row>
    <row r="87">
      <c r="A87" s="137">
        <v>2816.0</v>
      </c>
      <c r="B87" s="136" t="s">
        <v>1126</v>
      </c>
      <c r="C87" s="136" t="s">
        <v>1207</v>
      </c>
      <c r="D87" s="136" t="s">
        <v>542</v>
      </c>
      <c r="E87" s="136" t="s">
        <v>1155</v>
      </c>
      <c r="F87" s="137">
        <v>12.0</v>
      </c>
      <c r="G87" s="137">
        <v>14.0</v>
      </c>
      <c r="H87" s="137">
        <v>-2.0</v>
      </c>
      <c r="I87" s="137">
        <v>12.0</v>
      </c>
      <c r="J87" s="137">
        <v>14.0</v>
      </c>
      <c r="K87" s="137">
        <v>-2.0</v>
      </c>
      <c r="L87" s="137">
        <v>46.0</v>
      </c>
      <c r="M87" s="137">
        <v>46.0</v>
      </c>
    </row>
    <row r="88">
      <c r="A88" s="137">
        <v>4263.0</v>
      </c>
      <c r="B88" s="136" t="s">
        <v>1126</v>
      </c>
      <c r="C88" s="136" t="s">
        <v>1204</v>
      </c>
      <c r="D88" s="136" t="s">
        <v>1212</v>
      </c>
      <c r="E88" s="136" t="s">
        <v>1168</v>
      </c>
      <c r="F88" s="137">
        <v>12.0</v>
      </c>
      <c r="G88" s="137">
        <v>3.0</v>
      </c>
      <c r="H88" s="137">
        <v>9.0</v>
      </c>
      <c r="I88" s="137">
        <v>12.0</v>
      </c>
      <c r="J88" s="137">
        <v>3.0</v>
      </c>
      <c r="K88" s="137">
        <v>9.0</v>
      </c>
      <c r="L88" s="137">
        <v>13.0</v>
      </c>
      <c r="M88" s="137">
        <v>13.0</v>
      </c>
    </row>
    <row r="89">
      <c r="A89" s="137">
        <v>6869.0</v>
      </c>
      <c r="B89" s="136" t="s">
        <v>1126</v>
      </c>
      <c r="C89" s="136" t="s">
        <v>1204</v>
      </c>
      <c r="D89" s="136" t="s">
        <v>1034</v>
      </c>
      <c r="E89" s="136" t="s">
        <v>1156</v>
      </c>
      <c r="F89" s="137">
        <v>12.0</v>
      </c>
      <c r="G89" s="137">
        <v>4.0</v>
      </c>
      <c r="H89" s="137">
        <v>8.0</v>
      </c>
      <c r="I89" s="137">
        <v>12.0</v>
      </c>
      <c r="J89" s="137">
        <v>4.0</v>
      </c>
      <c r="K89" s="137">
        <v>8.0</v>
      </c>
      <c r="L89" s="137">
        <v>27.0</v>
      </c>
      <c r="M89" s="137">
        <v>27.0</v>
      </c>
    </row>
    <row r="90">
      <c r="A90" s="137">
        <v>6766.0</v>
      </c>
      <c r="B90" s="136" t="s">
        <v>1126</v>
      </c>
      <c r="C90" s="136" t="s">
        <v>1213</v>
      </c>
      <c r="D90" s="136" t="s">
        <v>1038</v>
      </c>
      <c r="E90" s="136" t="s">
        <v>1158</v>
      </c>
      <c r="F90" s="137">
        <v>11.0</v>
      </c>
      <c r="G90" s="137">
        <v>7.0</v>
      </c>
      <c r="H90" s="137">
        <v>4.0</v>
      </c>
      <c r="I90" s="137">
        <v>11.0</v>
      </c>
      <c r="J90" s="137">
        <v>8.0</v>
      </c>
      <c r="K90" s="137">
        <v>3.0</v>
      </c>
      <c r="L90" s="137">
        <v>19.0</v>
      </c>
      <c r="M90" s="137">
        <v>21.0</v>
      </c>
    </row>
    <row r="91">
      <c r="A91" s="137">
        <v>5812.0</v>
      </c>
      <c r="B91" s="136" t="s">
        <v>1126</v>
      </c>
      <c r="C91" s="136" t="s">
        <v>1214</v>
      </c>
      <c r="D91" s="136" t="s">
        <v>1215</v>
      </c>
      <c r="E91" s="136" t="s">
        <v>1160</v>
      </c>
      <c r="F91" s="137">
        <v>11.0</v>
      </c>
      <c r="G91" s="137">
        <v>2.0</v>
      </c>
      <c r="H91" s="137">
        <v>9.0</v>
      </c>
      <c r="I91" s="137">
        <v>11.0</v>
      </c>
      <c r="J91" s="137">
        <v>2.0</v>
      </c>
      <c r="K91" s="137">
        <v>9.0</v>
      </c>
      <c r="L91" s="137">
        <v>14.0</v>
      </c>
      <c r="M91" s="137">
        <v>17.0</v>
      </c>
    </row>
    <row r="92">
      <c r="A92" s="137">
        <v>5527.0</v>
      </c>
      <c r="B92" s="136" t="s">
        <v>1126</v>
      </c>
      <c r="C92" s="136" t="s">
        <v>1207</v>
      </c>
      <c r="D92" s="136" t="s">
        <v>987</v>
      </c>
      <c r="E92" s="136" t="s">
        <v>1168</v>
      </c>
      <c r="F92" s="137">
        <v>11.0</v>
      </c>
      <c r="G92" s="137">
        <v>3.0</v>
      </c>
      <c r="H92" s="137">
        <v>8.0</v>
      </c>
      <c r="I92" s="137">
        <v>11.0</v>
      </c>
      <c r="J92" s="137">
        <v>3.0</v>
      </c>
      <c r="K92" s="137">
        <v>8.0</v>
      </c>
      <c r="L92" s="137">
        <v>12.0</v>
      </c>
      <c r="M92" s="137">
        <v>12.0</v>
      </c>
    </row>
    <row r="93">
      <c r="A93" s="137">
        <v>2296.0</v>
      </c>
      <c r="B93" s="136" t="s">
        <v>1126</v>
      </c>
      <c r="C93" s="136" t="s">
        <v>1204</v>
      </c>
      <c r="D93" s="136" t="s">
        <v>586</v>
      </c>
      <c r="E93" s="136" t="s">
        <v>1153</v>
      </c>
      <c r="F93" s="137">
        <v>11.0</v>
      </c>
      <c r="G93" s="137">
        <v>11.0</v>
      </c>
      <c r="H93" s="137">
        <v>0.0</v>
      </c>
      <c r="I93" s="137">
        <v>11.0</v>
      </c>
      <c r="J93" s="137">
        <v>11.0</v>
      </c>
      <c r="K93" s="137">
        <v>0.0</v>
      </c>
      <c r="L93" s="137">
        <v>37.0</v>
      </c>
      <c r="M93" s="137">
        <v>37.0</v>
      </c>
    </row>
    <row r="94">
      <c r="A94" s="137">
        <v>6642.0</v>
      </c>
      <c r="B94" s="136" t="s">
        <v>1126</v>
      </c>
      <c r="C94" s="136" t="s">
        <v>1204</v>
      </c>
      <c r="D94" s="136" t="s">
        <v>977</v>
      </c>
      <c r="E94" s="136" t="s">
        <v>1175</v>
      </c>
      <c r="F94" s="137">
        <v>11.0</v>
      </c>
      <c r="G94" s="137">
        <v>8.0</v>
      </c>
      <c r="H94" s="137">
        <v>3.0</v>
      </c>
      <c r="I94" s="137">
        <v>11.0</v>
      </c>
      <c r="J94" s="137">
        <v>8.0</v>
      </c>
      <c r="K94" s="137">
        <v>3.0</v>
      </c>
      <c r="L94" s="137">
        <v>13.0</v>
      </c>
      <c r="M94" s="137">
        <v>13.0</v>
      </c>
    </row>
    <row r="95">
      <c r="A95" s="137">
        <v>4665.0</v>
      </c>
      <c r="B95" s="136" t="s">
        <v>1126</v>
      </c>
      <c r="C95" s="136" t="s">
        <v>1204</v>
      </c>
      <c r="D95" s="136" t="s">
        <v>1216</v>
      </c>
      <c r="E95" s="136" t="s">
        <v>1175</v>
      </c>
      <c r="F95" s="137">
        <v>11.0</v>
      </c>
      <c r="G95" s="137">
        <v>7.0</v>
      </c>
      <c r="H95" s="137">
        <v>4.0</v>
      </c>
      <c r="I95" s="137">
        <v>11.0</v>
      </c>
      <c r="J95" s="137">
        <v>7.0</v>
      </c>
      <c r="K95" s="137">
        <v>4.0</v>
      </c>
      <c r="L95" s="137">
        <v>20.0</v>
      </c>
      <c r="M95" s="137">
        <v>20.0</v>
      </c>
    </row>
    <row r="96">
      <c r="A96" s="137">
        <v>6956.0</v>
      </c>
      <c r="B96" s="136" t="s">
        <v>1126</v>
      </c>
      <c r="C96" s="136" t="s">
        <v>1204</v>
      </c>
      <c r="D96" s="136" t="s">
        <v>1028</v>
      </c>
      <c r="E96" s="136" t="s">
        <v>1168</v>
      </c>
      <c r="F96" s="137">
        <v>11.0</v>
      </c>
      <c r="G96" s="137">
        <v>11.0</v>
      </c>
      <c r="H96" s="137">
        <v>0.0</v>
      </c>
      <c r="I96" s="137">
        <v>11.0</v>
      </c>
      <c r="J96" s="137">
        <v>11.0</v>
      </c>
      <c r="K96" s="137">
        <v>0.0</v>
      </c>
      <c r="L96" s="137">
        <v>35.0</v>
      </c>
      <c r="M96" s="137">
        <v>35.0</v>
      </c>
    </row>
    <row r="97">
      <c r="A97" s="137">
        <v>4159.0</v>
      </c>
      <c r="B97" s="136" t="s">
        <v>1126</v>
      </c>
      <c r="C97" s="136" t="s">
        <v>1204</v>
      </c>
      <c r="D97" s="136" t="s">
        <v>1074</v>
      </c>
      <c r="E97" s="136" t="s">
        <v>1161</v>
      </c>
      <c r="F97" s="137">
        <v>11.0</v>
      </c>
      <c r="G97" s="137">
        <v>9.0</v>
      </c>
      <c r="H97" s="137">
        <v>2.0</v>
      </c>
      <c r="I97" s="137">
        <v>11.0</v>
      </c>
      <c r="J97" s="137">
        <v>9.0</v>
      </c>
      <c r="K97" s="137">
        <v>2.0</v>
      </c>
      <c r="L97" s="137">
        <v>52.0</v>
      </c>
      <c r="M97" s="137">
        <v>52.0</v>
      </c>
    </row>
    <row r="98">
      <c r="A98" s="137">
        <v>4734.0</v>
      </c>
      <c r="B98" s="136" t="s">
        <v>1126</v>
      </c>
      <c r="C98" s="136" t="s">
        <v>1203</v>
      </c>
      <c r="D98" s="136" t="s">
        <v>934</v>
      </c>
      <c r="E98" s="136" t="s">
        <v>1169</v>
      </c>
      <c r="F98" s="137">
        <v>10.0</v>
      </c>
      <c r="G98" s="137">
        <v>9.0</v>
      </c>
      <c r="H98" s="137">
        <v>1.0</v>
      </c>
      <c r="I98" s="137">
        <v>10.0</v>
      </c>
      <c r="J98" s="137">
        <v>9.0</v>
      </c>
      <c r="K98" s="137">
        <v>1.0</v>
      </c>
      <c r="L98" s="137">
        <v>15.0</v>
      </c>
      <c r="M98" s="137">
        <v>15.0</v>
      </c>
    </row>
    <row r="99">
      <c r="A99" s="137">
        <v>5435.0</v>
      </c>
      <c r="B99" s="136" t="s">
        <v>1126</v>
      </c>
      <c r="C99" s="136" t="s">
        <v>1203</v>
      </c>
      <c r="D99" s="136" t="s">
        <v>988</v>
      </c>
      <c r="E99" s="136" t="s">
        <v>1156</v>
      </c>
      <c r="F99" s="137">
        <v>10.0</v>
      </c>
      <c r="G99" s="137">
        <v>3.0</v>
      </c>
      <c r="H99" s="137">
        <v>7.0</v>
      </c>
      <c r="I99" s="137">
        <v>10.0</v>
      </c>
      <c r="J99" s="137">
        <v>3.0</v>
      </c>
      <c r="K99" s="137">
        <v>7.0</v>
      </c>
      <c r="L99" s="137">
        <v>8.0</v>
      </c>
      <c r="M99" s="137">
        <v>8.0</v>
      </c>
    </row>
    <row r="100">
      <c r="A100" s="137">
        <v>2160.0</v>
      </c>
      <c r="B100" s="136" t="s">
        <v>1126</v>
      </c>
      <c r="C100" s="136" t="s">
        <v>1202</v>
      </c>
      <c r="D100" s="136" t="s">
        <v>564</v>
      </c>
      <c r="E100" s="136" t="s">
        <v>1165</v>
      </c>
      <c r="F100" s="137">
        <v>10.0</v>
      </c>
      <c r="G100" s="137">
        <v>18.0</v>
      </c>
      <c r="H100" s="137">
        <v>-8.0</v>
      </c>
      <c r="I100" s="137">
        <v>10.0</v>
      </c>
      <c r="J100" s="137">
        <v>17.0</v>
      </c>
      <c r="K100" s="137">
        <v>-7.0</v>
      </c>
      <c r="L100" s="137">
        <v>24.0</v>
      </c>
      <c r="M100" s="137">
        <v>21.0</v>
      </c>
    </row>
    <row r="101">
      <c r="A101" s="137">
        <v>5514.0</v>
      </c>
      <c r="B101" s="136" t="s">
        <v>1126</v>
      </c>
      <c r="C101" s="136" t="s">
        <v>1213</v>
      </c>
      <c r="D101" s="136" t="s">
        <v>986</v>
      </c>
      <c r="E101" s="136" t="s">
        <v>1170</v>
      </c>
      <c r="F101" s="137">
        <v>10.0</v>
      </c>
      <c r="G101" s="137">
        <v>9.0</v>
      </c>
      <c r="H101" s="137">
        <v>1.0</v>
      </c>
      <c r="I101" s="137">
        <v>10.0</v>
      </c>
      <c r="J101" s="137">
        <v>10.0</v>
      </c>
      <c r="K101" s="137">
        <v>0.0</v>
      </c>
      <c r="L101" s="137">
        <v>24.0</v>
      </c>
      <c r="M101" s="137">
        <v>26.0</v>
      </c>
    </row>
    <row r="102">
      <c r="A102" s="137">
        <v>5513.0</v>
      </c>
      <c r="B102" s="136" t="s">
        <v>1126</v>
      </c>
      <c r="C102" s="136" t="s">
        <v>1202</v>
      </c>
      <c r="D102" s="136" t="s">
        <v>690</v>
      </c>
      <c r="E102" s="136" t="s">
        <v>1161</v>
      </c>
      <c r="F102" s="137">
        <v>10.0</v>
      </c>
      <c r="G102" s="137">
        <v>20.0</v>
      </c>
      <c r="H102" s="137">
        <v>-10.0</v>
      </c>
      <c r="I102" s="137">
        <v>9.0</v>
      </c>
      <c r="J102" s="137">
        <v>19.0</v>
      </c>
      <c r="K102" s="137">
        <v>-10.0</v>
      </c>
      <c r="L102" s="137">
        <v>25.0</v>
      </c>
      <c r="M102" s="137">
        <v>25.0</v>
      </c>
    </row>
    <row r="103">
      <c r="A103" s="137">
        <v>6039.0</v>
      </c>
      <c r="B103" s="136" t="s">
        <v>1126</v>
      </c>
      <c r="C103" s="136" t="s">
        <v>1209</v>
      </c>
      <c r="D103" s="136" t="s">
        <v>930</v>
      </c>
      <c r="E103" s="136" t="s">
        <v>1158</v>
      </c>
      <c r="F103" s="137">
        <v>10.0</v>
      </c>
      <c r="G103" s="137">
        <v>5.0</v>
      </c>
      <c r="H103" s="137">
        <v>5.0</v>
      </c>
      <c r="I103" s="137">
        <v>10.0</v>
      </c>
      <c r="J103" s="137">
        <v>5.0</v>
      </c>
      <c r="K103" s="137">
        <v>5.0</v>
      </c>
      <c r="L103" s="137">
        <v>10.0</v>
      </c>
      <c r="M103" s="137">
        <v>12.0</v>
      </c>
    </row>
    <row r="104">
      <c r="A104" s="137">
        <v>5520.0</v>
      </c>
      <c r="B104" s="136" t="s">
        <v>1126</v>
      </c>
      <c r="C104" s="136" t="s">
        <v>1202</v>
      </c>
      <c r="D104" s="136" t="s">
        <v>704</v>
      </c>
      <c r="E104" s="136" t="s">
        <v>1158</v>
      </c>
      <c r="F104" s="137">
        <v>10.0</v>
      </c>
      <c r="G104" s="137">
        <v>15.0</v>
      </c>
      <c r="H104" s="137">
        <v>-5.0</v>
      </c>
      <c r="I104" s="137">
        <v>10.0</v>
      </c>
      <c r="J104" s="137">
        <v>14.0</v>
      </c>
      <c r="K104" s="137">
        <v>-4.0</v>
      </c>
      <c r="L104" s="137">
        <v>22.0</v>
      </c>
      <c r="M104" s="137">
        <v>19.0</v>
      </c>
    </row>
    <row r="105">
      <c r="A105" s="137">
        <v>2724.0</v>
      </c>
      <c r="B105" s="136" t="s">
        <v>1126</v>
      </c>
      <c r="C105" s="136" t="s">
        <v>1204</v>
      </c>
      <c r="D105" s="136" t="s">
        <v>808</v>
      </c>
      <c r="E105" s="136" t="s">
        <v>1155</v>
      </c>
      <c r="F105" s="137">
        <v>10.0</v>
      </c>
      <c r="G105" s="137">
        <v>13.0</v>
      </c>
      <c r="H105" s="137">
        <v>-3.0</v>
      </c>
      <c r="I105" s="137">
        <v>10.0</v>
      </c>
      <c r="J105" s="137">
        <v>13.0</v>
      </c>
      <c r="K105" s="137">
        <v>-3.0</v>
      </c>
      <c r="L105" s="137">
        <v>17.0</v>
      </c>
      <c r="M105" s="137">
        <v>17.0</v>
      </c>
    </row>
    <row r="106">
      <c r="A106" s="137">
        <v>5862.0</v>
      </c>
      <c r="B106" s="136" t="s">
        <v>1126</v>
      </c>
      <c r="C106" s="136" t="s">
        <v>1203</v>
      </c>
      <c r="D106" s="136" t="s">
        <v>703</v>
      </c>
      <c r="E106" s="136" t="s">
        <v>1167</v>
      </c>
      <c r="F106" s="137">
        <v>10.0</v>
      </c>
      <c r="G106" s="137">
        <v>10.0</v>
      </c>
      <c r="H106" s="137">
        <v>0.0</v>
      </c>
      <c r="I106" s="137">
        <v>10.0</v>
      </c>
      <c r="J106" s="137">
        <v>10.0</v>
      </c>
      <c r="K106" s="137">
        <v>0.0</v>
      </c>
      <c r="L106" s="137">
        <v>22.0</v>
      </c>
      <c r="M106" s="137">
        <v>22.0</v>
      </c>
    </row>
    <row r="107">
      <c r="A107" s="137">
        <v>4807.0</v>
      </c>
      <c r="B107" s="136" t="s">
        <v>1126</v>
      </c>
      <c r="C107" s="136" t="s">
        <v>1204</v>
      </c>
      <c r="D107" s="136" t="s">
        <v>927</v>
      </c>
      <c r="E107" s="136" t="s">
        <v>1153</v>
      </c>
      <c r="F107" s="137">
        <v>10.0</v>
      </c>
      <c r="G107" s="137">
        <v>3.0</v>
      </c>
      <c r="H107" s="137">
        <v>7.0</v>
      </c>
      <c r="I107" s="137">
        <v>10.0</v>
      </c>
      <c r="J107" s="137">
        <v>3.0</v>
      </c>
      <c r="K107" s="137">
        <v>7.0</v>
      </c>
      <c r="L107" s="137">
        <v>14.0</v>
      </c>
      <c r="M107" s="137">
        <v>14.0</v>
      </c>
    </row>
    <row r="108">
      <c r="A108" s="137">
        <v>7220.0</v>
      </c>
      <c r="B108" s="136" t="s">
        <v>1126</v>
      </c>
      <c r="C108" s="136" t="s">
        <v>1207</v>
      </c>
      <c r="D108" s="136" t="s">
        <v>1217</v>
      </c>
      <c r="E108" s="136" t="s">
        <v>1173</v>
      </c>
      <c r="F108" s="137">
        <v>10.0</v>
      </c>
      <c r="G108" s="137">
        <v>4.0</v>
      </c>
      <c r="H108" s="137">
        <v>6.0</v>
      </c>
      <c r="I108" s="137">
        <v>10.0</v>
      </c>
      <c r="J108" s="137">
        <v>4.0</v>
      </c>
      <c r="K108" s="137">
        <v>6.0</v>
      </c>
      <c r="L108" s="137">
        <v>21.0</v>
      </c>
      <c r="M108" s="137">
        <v>21.0</v>
      </c>
    </row>
    <row r="109">
      <c r="A109" s="137">
        <v>393.0</v>
      </c>
      <c r="B109" s="136" t="s">
        <v>1126</v>
      </c>
      <c r="C109" s="136" t="s">
        <v>1204</v>
      </c>
      <c r="D109" s="136" t="s">
        <v>883</v>
      </c>
      <c r="E109" s="136" t="s">
        <v>1160</v>
      </c>
      <c r="F109" s="137">
        <v>9.0</v>
      </c>
      <c r="G109" s="137">
        <v>7.0</v>
      </c>
      <c r="H109" s="137">
        <v>2.0</v>
      </c>
      <c r="I109" s="137">
        <v>9.0</v>
      </c>
      <c r="J109" s="137">
        <v>7.0</v>
      </c>
      <c r="K109" s="137">
        <v>2.0</v>
      </c>
      <c r="L109" s="137">
        <v>14.0</v>
      </c>
      <c r="M109" s="137">
        <v>14.0</v>
      </c>
    </row>
    <row r="110">
      <c r="A110" s="137">
        <v>6867.0</v>
      </c>
      <c r="B110" s="136" t="s">
        <v>1126</v>
      </c>
      <c r="C110" s="136" t="s">
        <v>1203</v>
      </c>
      <c r="D110" s="136" t="s">
        <v>1079</v>
      </c>
      <c r="E110" s="136" t="s">
        <v>1156</v>
      </c>
      <c r="F110" s="137">
        <v>9.0</v>
      </c>
      <c r="G110" s="137">
        <v>6.0</v>
      </c>
      <c r="H110" s="137">
        <v>3.0</v>
      </c>
      <c r="I110" s="137">
        <v>9.0</v>
      </c>
      <c r="J110" s="137">
        <v>6.0</v>
      </c>
      <c r="K110" s="137">
        <v>3.0</v>
      </c>
      <c r="L110" s="137">
        <v>11.0</v>
      </c>
      <c r="M110" s="137">
        <v>11.0</v>
      </c>
    </row>
    <row r="111">
      <c r="A111" s="137">
        <v>6013.0</v>
      </c>
      <c r="B111" s="136" t="s">
        <v>1126</v>
      </c>
      <c r="C111" s="136" t="s">
        <v>1214</v>
      </c>
      <c r="D111" s="136" t="s">
        <v>1218</v>
      </c>
      <c r="E111" s="136" t="s">
        <v>1160</v>
      </c>
      <c r="F111" s="137">
        <v>9.0</v>
      </c>
      <c r="G111" s="137">
        <v>3.0</v>
      </c>
      <c r="H111" s="137">
        <v>6.0</v>
      </c>
      <c r="I111" s="137">
        <v>9.0</v>
      </c>
      <c r="J111" s="137">
        <v>4.0</v>
      </c>
      <c r="K111" s="137">
        <v>5.0</v>
      </c>
      <c r="L111" s="137">
        <v>11.0</v>
      </c>
      <c r="M111" s="137">
        <v>13.0</v>
      </c>
    </row>
    <row r="112">
      <c r="A112" s="137">
        <v>460.0</v>
      </c>
      <c r="B112" s="136" t="s">
        <v>1126</v>
      </c>
      <c r="C112" s="136" t="s">
        <v>1204</v>
      </c>
      <c r="D112" s="136" t="s">
        <v>694</v>
      </c>
      <c r="E112" s="136" t="s">
        <v>1157</v>
      </c>
      <c r="F112" s="137">
        <v>9.0</v>
      </c>
      <c r="G112" s="137">
        <v>8.0</v>
      </c>
      <c r="H112" s="137">
        <v>1.0</v>
      </c>
      <c r="I112" s="137">
        <v>9.0</v>
      </c>
      <c r="J112" s="137">
        <v>8.0</v>
      </c>
      <c r="K112" s="137">
        <v>1.0</v>
      </c>
      <c r="L112" s="137">
        <v>23.0</v>
      </c>
      <c r="M112" s="137">
        <v>23.0</v>
      </c>
    </row>
    <row r="113">
      <c r="A113" s="137">
        <v>6989.0</v>
      </c>
      <c r="B113" s="136" t="s">
        <v>1126</v>
      </c>
      <c r="C113" s="136" t="s">
        <v>1204</v>
      </c>
      <c r="D113" s="136" t="s">
        <v>1219</v>
      </c>
      <c r="E113" s="136" t="s">
        <v>1159</v>
      </c>
      <c r="F113" s="137">
        <v>9.0</v>
      </c>
      <c r="G113" s="137">
        <v>1.0</v>
      </c>
      <c r="H113" s="137">
        <v>8.0</v>
      </c>
      <c r="I113" s="137">
        <v>9.0</v>
      </c>
      <c r="J113" s="137">
        <v>1.0</v>
      </c>
      <c r="K113" s="137">
        <v>8.0</v>
      </c>
      <c r="L113" s="137">
        <v>20.0</v>
      </c>
      <c r="M113" s="137">
        <v>20.0</v>
      </c>
    </row>
    <row r="114">
      <c r="A114" s="137">
        <v>6663.0</v>
      </c>
      <c r="B114" s="136" t="s">
        <v>1126</v>
      </c>
      <c r="C114" s="136" t="s">
        <v>1204</v>
      </c>
      <c r="D114" s="136" t="s">
        <v>989</v>
      </c>
      <c r="E114" s="136" t="s">
        <v>1167</v>
      </c>
      <c r="F114" s="137">
        <v>9.0</v>
      </c>
      <c r="G114" s="137">
        <v>5.0</v>
      </c>
      <c r="H114" s="137">
        <v>4.0</v>
      </c>
      <c r="I114" s="137">
        <v>9.0</v>
      </c>
      <c r="J114" s="137">
        <v>5.0</v>
      </c>
      <c r="K114" s="137">
        <v>4.0</v>
      </c>
      <c r="L114" s="137">
        <v>15.0</v>
      </c>
      <c r="M114" s="137">
        <v>15.0</v>
      </c>
    </row>
    <row r="115">
      <c r="A115" s="137">
        <v>6664.0</v>
      </c>
      <c r="B115" s="136" t="s">
        <v>1126</v>
      </c>
      <c r="C115" s="136" t="s">
        <v>1206</v>
      </c>
      <c r="D115" s="136" t="s">
        <v>929</v>
      </c>
      <c r="E115" s="136" t="s">
        <v>1167</v>
      </c>
      <c r="F115" s="137">
        <v>9.0</v>
      </c>
      <c r="G115" s="137">
        <v>8.0</v>
      </c>
      <c r="H115" s="137">
        <v>1.0</v>
      </c>
      <c r="I115" s="137">
        <v>8.0</v>
      </c>
      <c r="J115" s="137">
        <v>9.0</v>
      </c>
      <c r="K115" s="137">
        <v>-1.0</v>
      </c>
      <c r="L115" s="137">
        <v>21.0</v>
      </c>
      <c r="M115" s="137">
        <v>24.0</v>
      </c>
    </row>
    <row r="116">
      <c r="A116" s="137">
        <v>7143.0</v>
      </c>
      <c r="B116" s="136" t="s">
        <v>1126</v>
      </c>
      <c r="C116" s="136" t="s">
        <v>1203</v>
      </c>
      <c r="D116" s="136" t="s">
        <v>1076</v>
      </c>
      <c r="E116" s="136" t="s">
        <v>1172</v>
      </c>
      <c r="F116" s="137">
        <v>9.0</v>
      </c>
      <c r="G116" s="137">
        <v>5.0</v>
      </c>
      <c r="H116" s="137">
        <v>4.0</v>
      </c>
      <c r="I116" s="137">
        <v>9.0</v>
      </c>
      <c r="J116" s="137">
        <v>5.0</v>
      </c>
      <c r="K116" s="137">
        <v>4.0</v>
      </c>
      <c r="L116" s="137">
        <v>13.0</v>
      </c>
      <c r="M116" s="137">
        <v>13.0</v>
      </c>
    </row>
    <row r="117">
      <c r="A117" s="137">
        <v>6046.0</v>
      </c>
      <c r="B117" s="136" t="s">
        <v>1126</v>
      </c>
      <c r="C117" s="136" t="s">
        <v>1204</v>
      </c>
      <c r="D117" s="136" t="s">
        <v>937</v>
      </c>
      <c r="E117" s="136" t="s">
        <v>1154</v>
      </c>
      <c r="F117" s="137">
        <v>8.0</v>
      </c>
      <c r="G117" s="137">
        <v>11.0</v>
      </c>
      <c r="H117" s="137">
        <v>-3.0</v>
      </c>
      <c r="I117" s="137">
        <v>8.0</v>
      </c>
      <c r="J117" s="137">
        <v>11.0</v>
      </c>
      <c r="K117" s="137">
        <v>-3.0</v>
      </c>
      <c r="L117" s="137">
        <v>21.0</v>
      </c>
      <c r="M117" s="137">
        <v>21.0</v>
      </c>
    </row>
    <row r="118">
      <c r="A118" s="137">
        <v>5578.0</v>
      </c>
      <c r="B118" s="136" t="s">
        <v>1126</v>
      </c>
      <c r="C118" s="136" t="s">
        <v>1211</v>
      </c>
      <c r="D118" s="136" t="s">
        <v>975</v>
      </c>
      <c r="E118" s="136" t="s">
        <v>1154</v>
      </c>
      <c r="F118" s="137">
        <v>8.0</v>
      </c>
      <c r="G118" s="137">
        <v>9.0</v>
      </c>
      <c r="H118" s="137">
        <v>-1.0</v>
      </c>
      <c r="I118" s="137">
        <v>8.0</v>
      </c>
      <c r="J118" s="137">
        <v>9.0</v>
      </c>
      <c r="K118" s="137">
        <v>-1.0</v>
      </c>
      <c r="L118" s="137">
        <v>10.0</v>
      </c>
      <c r="M118" s="137">
        <v>12.0</v>
      </c>
    </row>
    <row r="119">
      <c r="A119" s="137">
        <v>554.0</v>
      </c>
      <c r="B119" s="136" t="s">
        <v>1126</v>
      </c>
      <c r="C119" s="136" t="s">
        <v>1202</v>
      </c>
      <c r="D119" s="136" t="s">
        <v>702</v>
      </c>
      <c r="E119" s="136" t="s">
        <v>1154</v>
      </c>
      <c r="F119" s="137">
        <v>8.0</v>
      </c>
      <c r="G119" s="137">
        <v>13.0</v>
      </c>
      <c r="H119" s="137">
        <v>-5.0</v>
      </c>
      <c r="I119" s="137">
        <v>8.0</v>
      </c>
      <c r="J119" s="137">
        <v>12.0</v>
      </c>
      <c r="K119" s="137">
        <v>-4.0</v>
      </c>
      <c r="L119" s="137">
        <v>20.0</v>
      </c>
      <c r="M119" s="137">
        <v>20.0</v>
      </c>
    </row>
    <row r="120">
      <c r="A120" s="137">
        <v>4210.0</v>
      </c>
      <c r="B120" s="136" t="s">
        <v>1126</v>
      </c>
      <c r="C120" s="136" t="s">
        <v>1204</v>
      </c>
      <c r="D120" s="136" t="s">
        <v>984</v>
      </c>
      <c r="E120" s="136" t="s">
        <v>1162</v>
      </c>
      <c r="F120" s="137">
        <v>8.0</v>
      </c>
      <c r="G120" s="137">
        <v>7.0</v>
      </c>
      <c r="H120" s="137">
        <v>1.0</v>
      </c>
      <c r="I120" s="137">
        <v>8.0</v>
      </c>
      <c r="J120" s="137">
        <v>7.0</v>
      </c>
      <c r="K120" s="137">
        <v>1.0</v>
      </c>
      <c r="L120" s="137">
        <v>14.0</v>
      </c>
      <c r="M120" s="137">
        <v>14.0</v>
      </c>
    </row>
    <row r="121">
      <c r="A121" s="137">
        <v>7125.0</v>
      </c>
      <c r="B121" s="136" t="s">
        <v>1126</v>
      </c>
      <c r="C121" s="136" t="s">
        <v>1203</v>
      </c>
      <c r="D121" s="136" t="s">
        <v>1220</v>
      </c>
      <c r="E121" s="136" t="s">
        <v>1162</v>
      </c>
      <c r="F121" s="137">
        <v>8.0</v>
      </c>
      <c r="G121" s="137">
        <v>3.0</v>
      </c>
      <c r="H121" s="137">
        <v>5.0</v>
      </c>
      <c r="I121" s="137">
        <v>8.0</v>
      </c>
      <c r="J121" s="137">
        <v>3.0</v>
      </c>
      <c r="K121" s="137">
        <v>5.0</v>
      </c>
      <c r="L121" s="137">
        <v>10.0</v>
      </c>
      <c r="M121" s="137">
        <v>10.0</v>
      </c>
    </row>
    <row r="122">
      <c r="A122" s="137">
        <v>4433.0</v>
      </c>
      <c r="B122" s="136" t="s">
        <v>1126</v>
      </c>
      <c r="C122" s="136" t="s">
        <v>1202</v>
      </c>
      <c r="D122" s="136" t="s">
        <v>588</v>
      </c>
      <c r="E122" s="136" t="s">
        <v>1169</v>
      </c>
      <c r="F122" s="137">
        <v>8.0</v>
      </c>
      <c r="G122" s="137">
        <v>16.0</v>
      </c>
      <c r="H122" s="137">
        <v>-8.0</v>
      </c>
      <c r="I122" s="137">
        <v>7.0</v>
      </c>
      <c r="J122" s="137">
        <v>15.0</v>
      </c>
      <c r="K122" s="137">
        <v>-8.0</v>
      </c>
      <c r="L122" s="137">
        <v>11.0</v>
      </c>
      <c r="M122" s="137">
        <v>10.0</v>
      </c>
    </row>
    <row r="123">
      <c r="A123" s="137">
        <v>6814.0</v>
      </c>
      <c r="B123" s="136" t="s">
        <v>1126</v>
      </c>
      <c r="C123" s="136" t="s">
        <v>1207</v>
      </c>
      <c r="D123" s="136" t="s">
        <v>1082</v>
      </c>
      <c r="E123" s="136" t="s">
        <v>1170</v>
      </c>
      <c r="F123" s="137">
        <v>8.0</v>
      </c>
      <c r="G123" s="137">
        <v>3.0</v>
      </c>
      <c r="H123" s="137">
        <v>5.0</v>
      </c>
      <c r="I123" s="137">
        <v>8.0</v>
      </c>
      <c r="J123" s="137">
        <v>3.0</v>
      </c>
      <c r="K123" s="137">
        <v>5.0</v>
      </c>
      <c r="L123" s="137">
        <v>17.0</v>
      </c>
      <c r="M123" s="137">
        <v>17.0</v>
      </c>
    </row>
    <row r="124">
      <c r="A124" s="137">
        <v>5833.0</v>
      </c>
      <c r="B124" s="136" t="s">
        <v>1126</v>
      </c>
      <c r="C124" s="136" t="s">
        <v>1204</v>
      </c>
      <c r="D124" s="136" t="s">
        <v>1025</v>
      </c>
      <c r="E124" s="136" t="s">
        <v>1157</v>
      </c>
      <c r="F124" s="137">
        <v>8.0</v>
      </c>
      <c r="G124" s="137">
        <v>9.0</v>
      </c>
      <c r="H124" s="137">
        <v>-1.0</v>
      </c>
      <c r="I124" s="137">
        <v>8.0</v>
      </c>
      <c r="J124" s="137">
        <v>9.0</v>
      </c>
      <c r="K124" s="137">
        <v>-1.0</v>
      </c>
      <c r="L124" s="137">
        <v>22.0</v>
      </c>
      <c r="M124" s="137">
        <v>22.0</v>
      </c>
    </row>
    <row r="125">
      <c r="A125" s="137">
        <v>4502.0</v>
      </c>
      <c r="B125" s="136" t="s">
        <v>1126</v>
      </c>
      <c r="C125" s="136" t="s">
        <v>1203</v>
      </c>
      <c r="D125" s="136" t="s">
        <v>885</v>
      </c>
      <c r="E125" s="136" t="s">
        <v>1159</v>
      </c>
      <c r="F125" s="137">
        <v>8.0</v>
      </c>
      <c r="G125" s="137">
        <v>5.0</v>
      </c>
      <c r="H125" s="137">
        <v>3.0</v>
      </c>
      <c r="I125" s="137">
        <v>8.0</v>
      </c>
      <c r="J125" s="137">
        <v>5.0</v>
      </c>
      <c r="K125" s="137">
        <v>3.0</v>
      </c>
      <c r="L125" s="137">
        <v>13.0</v>
      </c>
      <c r="M125" s="137">
        <v>13.0</v>
      </c>
    </row>
    <row r="126">
      <c r="A126" s="137">
        <v>4401.0</v>
      </c>
      <c r="B126" s="136" t="s">
        <v>1126</v>
      </c>
      <c r="C126" s="136" t="s">
        <v>1204</v>
      </c>
      <c r="D126" s="136" t="s">
        <v>1031</v>
      </c>
      <c r="E126" s="136" t="s">
        <v>1152</v>
      </c>
      <c r="F126" s="137">
        <v>8.0</v>
      </c>
      <c r="G126" s="137">
        <v>6.0</v>
      </c>
      <c r="H126" s="137">
        <v>2.0</v>
      </c>
      <c r="I126" s="137">
        <v>8.0</v>
      </c>
      <c r="J126" s="137">
        <v>6.0</v>
      </c>
      <c r="K126" s="137">
        <v>2.0</v>
      </c>
      <c r="L126" s="137">
        <v>22.0</v>
      </c>
      <c r="M126" s="137">
        <v>22.0</v>
      </c>
    </row>
    <row r="127">
      <c r="A127" s="137">
        <v>4751.0</v>
      </c>
      <c r="B127" s="136" t="s">
        <v>1126</v>
      </c>
      <c r="C127" s="136" t="s">
        <v>1204</v>
      </c>
      <c r="D127" s="136" t="s">
        <v>562</v>
      </c>
      <c r="E127" s="136" t="s">
        <v>1152</v>
      </c>
      <c r="F127" s="137">
        <v>8.0</v>
      </c>
      <c r="G127" s="137">
        <v>8.0</v>
      </c>
      <c r="H127" s="137">
        <v>0.0</v>
      </c>
      <c r="I127" s="137">
        <v>8.0</v>
      </c>
      <c r="J127" s="137">
        <v>8.0</v>
      </c>
      <c r="K127" s="137">
        <v>0.0</v>
      </c>
      <c r="L127" s="137">
        <v>30.0</v>
      </c>
      <c r="M127" s="137">
        <v>30.0</v>
      </c>
    </row>
    <row r="128">
      <c r="A128" s="137">
        <v>7155.0</v>
      </c>
      <c r="B128" s="136" t="s">
        <v>1126</v>
      </c>
      <c r="C128" s="136" t="s">
        <v>1204</v>
      </c>
      <c r="D128" s="136" t="s">
        <v>1221</v>
      </c>
      <c r="E128" s="136" t="s">
        <v>1164</v>
      </c>
      <c r="F128" s="137">
        <v>8.0</v>
      </c>
      <c r="G128" s="137">
        <v>5.0</v>
      </c>
      <c r="H128" s="137">
        <v>3.0</v>
      </c>
      <c r="I128" s="137">
        <v>8.0</v>
      </c>
      <c r="J128" s="137">
        <v>5.0</v>
      </c>
      <c r="K128" s="137">
        <v>3.0</v>
      </c>
      <c r="L128" s="137">
        <v>19.0</v>
      </c>
      <c r="M128" s="137">
        <v>19.0</v>
      </c>
    </row>
    <row r="129">
      <c r="A129" s="137">
        <v>697.0</v>
      </c>
      <c r="B129" s="136" t="s">
        <v>1126</v>
      </c>
      <c r="C129" s="136" t="s">
        <v>1202</v>
      </c>
      <c r="D129" s="136" t="s">
        <v>751</v>
      </c>
      <c r="E129" s="136" t="s">
        <v>1172</v>
      </c>
      <c r="F129" s="137">
        <v>8.0</v>
      </c>
      <c r="G129" s="137">
        <v>7.0</v>
      </c>
      <c r="H129" s="137">
        <v>1.0</v>
      </c>
      <c r="I129" s="137">
        <v>8.0</v>
      </c>
      <c r="J129" s="137">
        <v>6.0</v>
      </c>
      <c r="K129" s="137">
        <v>2.0</v>
      </c>
      <c r="L129" s="137">
        <v>8.0</v>
      </c>
      <c r="M129" s="137">
        <v>8.0</v>
      </c>
    </row>
    <row r="130">
      <c r="A130" s="137">
        <v>6672.0</v>
      </c>
      <c r="B130" s="136" t="s">
        <v>1126</v>
      </c>
      <c r="C130" s="136" t="s">
        <v>1204</v>
      </c>
      <c r="D130" s="136" t="s">
        <v>992</v>
      </c>
      <c r="E130" s="136" t="s">
        <v>1164</v>
      </c>
      <c r="F130" s="137">
        <v>8.0</v>
      </c>
      <c r="G130" s="137">
        <v>7.0</v>
      </c>
      <c r="H130" s="137">
        <v>1.0</v>
      </c>
      <c r="I130" s="137">
        <v>8.0</v>
      </c>
      <c r="J130" s="137">
        <v>7.0</v>
      </c>
      <c r="K130" s="137">
        <v>1.0</v>
      </c>
      <c r="L130" s="137">
        <v>13.0</v>
      </c>
      <c r="M130" s="137">
        <v>13.0</v>
      </c>
    </row>
    <row r="131">
      <c r="A131" s="137">
        <v>7212.0</v>
      </c>
      <c r="B131" s="136" t="s">
        <v>1126</v>
      </c>
      <c r="C131" s="136" t="s">
        <v>1213</v>
      </c>
      <c r="D131" s="136" t="s">
        <v>1041</v>
      </c>
      <c r="E131" s="136" t="s">
        <v>1169</v>
      </c>
      <c r="F131" s="137">
        <v>8.0</v>
      </c>
      <c r="G131" s="137">
        <v>4.0</v>
      </c>
      <c r="H131" s="137">
        <v>4.0</v>
      </c>
      <c r="I131" s="137">
        <v>8.0</v>
      </c>
      <c r="J131" s="137">
        <v>5.0</v>
      </c>
      <c r="K131" s="137">
        <v>3.0</v>
      </c>
      <c r="L131" s="137">
        <v>19.0</v>
      </c>
      <c r="M131" s="137">
        <v>21.0</v>
      </c>
    </row>
    <row r="132">
      <c r="A132" s="137">
        <v>7219.0</v>
      </c>
      <c r="B132" s="136" t="s">
        <v>1126</v>
      </c>
      <c r="C132" s="136" t="s">
        <v>1202</v>
      </c>
      <c r="D132" s="136" t="s">
        <v>1222</v>
      </c>
      <c r="E132" s="136" t="s">
        <v>1154</v>
      </c>
      <c r="F132" s="137">
        <v>8.0</v>
      </c>
      <c r="G132" s="137">
        <v>1.0</v>
      </c>
      <c r="H132" s="137">
        <v>7.0</v>
      </c>
      <c r="I132" s="137">
        <v>8.0</v>
      </c>
      <c r="J132" s="137">
        <v>1.0</v>
      </c>
      <c r="K132" s="137">
        <v>7.0</v>
      </c>
      <c r="L132" s="137">
        <v>19.0</v>
      </c>
      <c r="M132" s="137">
        <v>19.0</v>
      </c>
    </row>
    <row r="133">
      <c r="A133" s="137">
        <v>4461.0</v>
      </c>
      <c r="B133" s="136" t="s">
        <v>1126</v>
      </c>
      <c r="C133" s="136" t="s">
        <v>1206</v>
      </c>
      <c r="D133" s="136" t="s">
        <v>887</v>
      </c>
      <c r="E133" s="136" t="s">
        <v>1162</v>
      </c>
      <c r="F133" s="137">
        <v>7.0</v>
      </c>
      <c r="G133" s="137">
        <v>6.0</v>
      </c>
      <c r="H133" s="137">
        <v>1.0</v>
      </c>
      <c r="I133" s="137">
        <v>7.0</v>
      </c>
      <c r="J133" s="137">
        <v>7.0</v>
      </c>
      <c r="K133" s="137">
        <v>0.0</v>
      </c>
      <c r="L133" s="137">
        <v>12.0</v>
      </c>
      <c r="M133" s="137">
        <v>15.0</v>
      </c>
    </row>
    <row r="134">
      <c r="A134" s="137">
        <v>7130.0</v>
      </c>
      <c r="B134" s="136" t="s">
        <v>1126</v>
      </c>
      <c r="C134" s="136" t="s">
        <v>1204</v>
      </c>
      <c r="D134" s="136" t="s">
        <v>1223</v>
      </c>
      <c r="E134" s="136" t="s">
        <v>1160</v>
      </c>
      <c r="F134" s="137">
        <v>7.0</v>
      </c>
      <c r="G134" s="137">
        <v>4.0</v>
      </c>
      <c r="H134" s="137">
        <v>3.0</v>
      </c>
      <c r="I134" s="137">
        <v>7.0</v>
      </c>
      <c r="J134" s="137">
        <v>4.0</v>
      </c>
      <c r="K134" s="137">
        <v>3.0</v>
      </c>
      <c r="L134" s="137">
        <v>5.0</v>
      </c>
      <c r="M134" s="137">
        <v>5.0</v>
      </c>
    </row>
    <row r="135">
      <c r="A135" s="137">
        <v>6495.0</v>
      </c>
      <c r="B135" s="136" t="s">
        <v>1126</v>
      </c>
      <c r="C135" s="136" t="s">
        <v>1204</v>
      </c>
      <c r="D135" s="136" t="s">
        <v>1032</v>
      </c>
      <c r="E135" s="136" t="s">
        <v>1165</v>
      </c>
      <c r="F135" s="137">
        <v>7.0</v>
      </c>
      <c r="G135" s="137">
        <v>7.0</v>
      </c>
      <c r="H135" s="137">
        <v>0.0</v>
      </c>
      <c r="I135" s="137">
        <v>7.0</v>
      </c>
      <c r="J135" s="137">
        <v>7.0</v>
      </c>
      <c r="K135" s="137">
        <v>0.0</v>
      </c>
      <c r="L135" s="137">
        <v>16.0</v>
      </c>
      <c r="M135" s="137">
        <v>16.0</v>
      </c>
    </row>
    <row r="136">
      <c r="A136" s="137">
        <v>5885.0</v>
      </c>
      <c r="B136" s="136" t="s">
        <v>1126</v>
      </c>
      <c r="C136" s="136" t="s">
        <v>1202</v>
      </c>
      <c r="D136" s="136" t="s">
        <v>1027</v>
      </c>
      <c r="E136" s="136" t="s">
        <v>1165</v>
      </c>
      <c r="F136" s="137">
        <v>7.0</v>
      </c>
      <c r="G136" s="137">
        <v>11.0</v>
      </c>
      <c r="H136" s="137">
        <v>-4.0</v>
      </c>
      <c r="I136" s="137">
        <v>8.0</v>
      </c>
      <c r="J136" s="137">
        <v>10.0</v>
      </c>
      <c r="K136" s="137">
        <v>-2.0</v>
      </c>
      <c r="L136" s="137">
        <v>32.0</v>
      </c>
      <c r="M136" s="137">
        <v>32.0</v>
      </c>
    </row>
    <row r="137">
      <c r="A137" s="137">
        <v>5449.0</v>
      </c>
      <c r="B137" s="136" t="s">
        <v>1126</v>
      </c>
      <c r="C137" s="136" t="s">
        <v>1202</v>
      </c>
      <c r="D137" s="136" t="s">
        <v>705</v>
      </c>
      <c r="E137" s="136" t="s">
        <v>1165</v>
      </c>
      <c r="F137" s="137">
        <v>7.0</v>
      </c>
      <c r="G137" s="137">
        <v>5.0</v>
      </c>
      <c r="H137" s="137">
        <v>2.0</v>
      </c>
      <c r="I137" s="137">
        <v>7.0</v>
      </c>
      <c r="J137" s="137">
        <v>4.0</v>
      </c>
      <c r="K137" s="137">
        <v>3.0</v>
      </c>
      <c r="L137" s="137">
        <v>18.0</v>
      </c>
      <c r="M137" s="137">
        <v>18.0</v>
      </c>
    </row>
    <row r="138">
      <c r="A138" s="137">
        <v>6660.0</v>
      </c>
      <c r="B138" s="136" t="s">
        <v>1126</v>
      </c>
      <c r="C138" s="136" t="s">
        <v>1204</v>
      </c>
      <c r="D138" s="136" t="s">
        <v>1224</v>
      </c>
      <c r="E138" s="136" t="s">
        <v>1170</v>
      </c>
      <c r="F138" s="137">
        <v>7.0</v>
      </c>
      <c r="G138" s="137">
        <v>3.0</v>
      </c>
      <c r="H138" s="137">
        <v>4.0</v>
      </c>
      <c r="I138" s="137">
        <v>7.0</v>
      </c>
      <c r="J138" s="137">
        <v>3.0</v>
      </c>
      <c r="K138" s="137">
        <v>4.0</v>
      </c>
      <c r="L138" s="137">
        <v>12.0</v>
      </c>
      <c r="M138" s="137">
        <v>12.0</v>
      </c>
    </row>
    <row r="139">
      <c r="A139" s="137">
        <v>2188.0</v>
      </c>
      <c r="B139" s="136" t="s">
        <v>1126</v>
      </c>
      <c r="C139" s="136" t="s">
        <v>1214</v>
      </c>
      <c r="D139" s="136" t="s">
        <v>711</v>
      </c>
      <c r="E139" s="136" t="s">
        <v>1157</v>
      </c>
      <c r="F139" s="137">
        <v>7.0</v>
      </c>
      <c r="G139" s="137">
        <v>8.0</v>
      </c>
      <c r="H139" s="137">
        <v>-1.0</v>
      </c>
      <c r="I139" s="137">
        <v>7.0</v>
      </c>
      <c r="J139" s="137">
        <v>9.0</v>
      </c>
      <c r="K139" s="137">
        <v>-2.0</v>
      </c>
      <c r="L139" s="137">
        <v>14.0</v>
      </c>
      <c r="M139" s="137">
        <v>17.0</v>
      </c>
    </row>
    <row r="140">
      <c r="A140" s="137">
        <v>6202.0</v>
      </c>
      <c r="B140" s="136" t="s">
        <v>1126</v>
      </c>
      <c r="C140" s="136" t="s">
        <v>1204</v>
      </c>
      <c r="D140" s="136" t="s">
        <v>873</v>
      </c>
      <c r="E140" s="136" t="s">
        <v>1155</v>
      </c>
      <c r="F140" s="137">
        <v>7.0</v>
      </c>
      <c r="G140" s="137">
        <v>10.0</v>
      </c>
      <c r="H140" s="137">
        <v>-3.0</v>
      </c>
      <c r="I140" s="137">
        <v>7.0</v>
      </c>
      <c r="J140" s="137">
        <v>10.0</v>
      </c>
      <c r="K140" s="137">
        <v>-3.0</v>
      </c>
      <c r="L140" s="137">
        <v>13.0</v>
      </c>
      <c r="M140" s="137">
        <v>13.0</v>
      </c>
    </row>
    <row r="141">
      <c r="A141" s="137">
        <v>4317.0</v>
      </c>
      <c r="B141" s="136" t="s">
        <v>1126</v>
      </c>
      <c r="C141" s="136" t="s">
        <v>1204</v>
      </c>
      <c r="D141" s="136" t="s">
        <v>983</v>
      </c>
      <c r="E141" s="136" t="s">
        <v>1153</v>
      </c>
      <c r="F141" s="137">
        <v>7.0</v>
      </c>
      <c r="G141" s="137">
        <v>10.0</v>
      </c>
      <c r="H141" s="137">
        <v>-3.0</v>
      </c>
      <c r="I141" s="137">
        <v>7.0</v>
      </c>
      <c r="J141" s="137">
        <v>10.0</v>
      </c>
      <c r="K141" s="137">
        <v>-3.0</v>
      </c>
      <c r="L141" s="137">
        <v>28.0</v>
      </c>
      <c r="M141" s="137">
        <v>28.0</v>
      </c>
    </row>
    <row r="142">
      <c r="A142" s="137">
        <v>4772.0</v>
      </c>
      <c r="B142" s="136" t="s">
        <v>1126</v>
      </c>
      <c r="C142" s="136" t="s">
        <v>1202</v>
      </c>
      <c r="D142" s="136" t="s">
        <v>979</v>
      </c>
      <c r="E142" s="136" t="s">
        <v>1153</v>
      </c>
      <c r="F142" s="137">
        <v>7.0</v>
      </c>
      <c r="G142" s="137">
        <v>15.0</v>
      </c>
      <c r="H142" s="137">
        <v>-8.0</v>
      </c>
      <c r="I142" s="137">
        <v>7.0</v>
      </c>
      <c r="J142" s="137">
        <v>14.0</v>
      </c>
      <c r="K142" s="137">
        <v>-7.0</v>
      </c>
      <c r="L142" s="137">
        <v>10.0</v>
      </c>
      <c r="M142" s="137">
        <v>10.0</v>
      </c>
    </row>
    <row r="143">
      <c r="A143" s="137">
        <v>7255.0</v>
      </c>
      <c r="B143" s="136" t="s">
        <v>1126</v>
      </c>
      <c r="C143" s="136" t="s">
        <v>1214</v>
      </c>
      <c r="D143" s="136" t="s">
        <v>1225</v>
      </c>
      <c r="E143" s="136" t="s">
        <v>1167</v>
      </c>
      <c r="F143" s="137">
        <v>7.0</v>
      </c>
      <c r="G143" s="137">
        <v>1.0</v>
      </c>
      <c r="H143" s="137">
        <v>6.0</v>
      </c>
      <c r="I143" s="137">
        <v>7.0</v>
      </c>
      <c r="J143" s="137">
        <v>1.0</v>
      </c>
      <c r="K143" s="137">
        <v>6.0</v>
      </c>
      <c r="L143" s="137">
        <v>12.0</v>
      </c>
      <c r="M143" s="137">
        <v>15.0</v>
      </c>
    </row>
    <row r="144">
      <c r="A144" s="137">
        <v>4137.0</v>
      </c>
      <c r="B144" s="136" t="s">
        <v>1126</v>
      </c>
      <c r="C144" s="136" t="s">
        <v>1204</v>
      </c>
      <c r="D144" s="136" t="s">
        <v>1226</v>
      </c>
      <c r="E144" s="136" t="s">
        <v>1156</v>
      </c>
      <c r="F144" s="137">
        <v>7.0</v>
      </c>
      <c r="G144" s="137">
        <v>5.0</v>
      </c>
      <c r="H144" s="137">
        <v>2.0</v>
      </c>
      <c r="I144" s="137">
        <v>7.0</v>
      </c>
      <c r="J144" s="137">
        <v>5.0</v>
      </c>
      <c r="K144" s="137">
        <v>2.0</v>
      </c>
      <c r="L144" s="137">
        <v>21.0</v>
      </c>
      <c r="M144" s="137">
        <v>21.0</v>
      </c>
    </row>
    <row r="145">
      <c r="A145" s="137">
        <v>787.0</v>
      </c>
      <c r="B145" s="136" t="s">
        <v>1126</v>
      </c>
      <c r="C145" s="136" t="s">
        <v>1204</v>
      </c>
      <c r="D145" s="136" t="s">
        <v>1040</v>
      </c>
      <c r="E145" s="136" t="s">
        <v>1154</v>
      </c>
      <c r="F145" s="137">
        <v>6.0</v>
      </c>
      <c r="G145" s="137">
        <v>8.0</v>
      </c>
      <c r="H145" s="137">
        <v>-2.0</v>
      </c>
      <c r="I145" s="137">
        <v>6.0</v>
      </c>
      <c r="J145" s="137">
        <v>8.0</v>
      </c>
      <c r="K145" s="137">
        <v>-2.0</v>
      </c>
      <c r="L145" s="137">
        <v>15.0</v>
      </c>
      <c r="M145" s="137">
        <v>15.0</v>
      </c>
    </row>
    <row r="146">
      <c r="A146" s="137">
        <v>6916.0</v>
      </c>
      <c r="B146" s="136" t="s">
        <v>1126</v>
      </c>
      <c r="C146" s="136" t="s">
        <v>1209</v>
      </c>
      <c r="D146" s="136" t="s">
        <v>1039</v>
      </c>
      <c r="E146" s="136" t="s">
        <v>1154</v>
      </c>
      <c r="F146" s="137">
        <v>6.0</v>
      </c>
      <c r="G146" s="137">
        <v>6.0</v>
      </c>
      <c r="H146" s="137">
        <v>0.0</v>
      </c>
      <c r="I146" s="137">
        <v>6.0</v>
      </c>
      <c r="J146" s="137">
        <v>7.0</v>
      </c>
      <c r="K146" s="137">
        <v>-1.0</v>
      </c>
      <c r="L146" s="137">
        <v>12.0</v>
      </c>
      <c r="M146" s="137">
        <v>14.0</v>
      </c>
    </row>
    <row r="147">
      <c r="A147" s="137">
        <v>4887.0</v>
      </c>
      <c r="B147" s="136" t="s">
        <v>1126</v>
      </c>
      <c r="C147" s="136" t="s">
        <v>1202</v>
      </c>
      <c r="D147" s="136" t="s">
        <v>870</v>
      </c>
      <c r="E147" s="136" t="s">
        <v>1154</v>
      </c>
      <c r="F147" s="137">
        <v>6.0</v>
      </c>
      <c r="G147" s="137">
        <v>13.0</v>
      </c>
      <c r="H147" s="137">
        <v>-7.0</v>
      </c>
      <c r="I147" s="137">
        <v>6.0</v>
      </c>
      <c r="J147" s="137">
        <v>12.0</v>
      </c>
      <c r="K147" s="137">
        <v>-6.0</v>
      </c>
      <c r="L147" s="137">
        <v>16.0</v>
      </c>
      <c r="M147" s="137">
        <v>16.0</v>
      </c>
    </row>
    <row r="148">
      <c r="A148" s="137">
        <v>6042.0</v>
      </c>
      <c r="B148" s="136" t="s">
        <v>1126</v>
      </c>
      <c r="C148" s="136" t="s">
        <v>1204</v>
      </c>
      <c r="D148" s="136" t="s">
        <v>1227</v>
      </c>
      <c r="E148" s="136" t="s">
        <v>1169</v>
      </c>
      <c r="F148" s="137">
        <v>6.0</v>
      </c>
      <c r="G148" s="137">
        <v>8.0</v>
      </c>
      <c r="H148" s="137">
        <v>-2.0</v>
      </c>
      <c r="I148" s="137">
        <v>6.0</v>
      </c>
      <c r="J148" s="137">
        <v>8.0</v>
      </c>
      <c r="K148" s="137">
        <v>-2.0</v>
      </c>
      <c r="L148" s="137">
        <v>12.0</v>
      </c>
      <c r="M148" s="137">
        <v>12.0</v>
      </c>
    </row>
    <row r="149">
      <c r="A149" s="137">
        <v>612.0</v>
      </c>
      <c r="B149" s="136" t="s">
        <v>1126</v>
      </c>
      <c r="C149" s="136" t="s">
        <v>1204</v>
      </c>
      <c r="D149" s="136" t="s">
        <v>1228</v>
      </c>
      <c r="E149" s="136" t="s">
        <v>1160</v>
      </c>
      <c r="F149" s="137">
        <v>6.0</v>
      </c>
      <c r="G149" s="137">
        <v>3.0</v>
      </c>
      <c r="H149" s="137">
        <v>3.0</v>
      </c>
      <c r="I149" s="137">
        <v>6.0</v>
      </c>
      <c r="J149" s="137">
        <v>3.0</v>
      </c>
      <c r="K149" s="137">
        <v>3.0</v>
      </c>
      <c r="L149" s="137">
        <v>12.0</v>
      </c>
      <c r="M149" s="137">
        <v>12.0</v>
      </c>
    </row>
    <row r="150">
      <c r="A150" s="137">
        <v>4378.0</v>
      </c>
      <c r="B150" s="136" t="s">
        <v>1126</v>
      </c>
      <c r="C150" s="136" t="s">
        <v>1213</v>
      </c>
      <c r="D150" s="136" t="s">
        <v>1035</v>
      </c>
      <c r="E150" s="136" t="s">
        <v>1165</v>
      </c>
      <c r="F150" s="137">
        <v>6.0</v>
      </c>
      <c r="G150" s="137">
        <v>7.0</v>
      </c>
      <c r="H150" s="137">
        <v>-1.0</v>
      </c>
      <c r="I150" s="137">
        <v>6.0</v>
      </c>
      <c r="J150" s="137">
        <v>7.0</v>
      </c>
      <c r="K150" s="137">
        <v>-1.0</v>
      </c>
      <c r="L150" s="137">
        <v>10.0</v>
      </c>
      <c r="M150" s="137">
        <v>12.0</v>
      </c>
    </row>
    <row r="151">
      <c r="A151" s="137">
        <v>7069.0</v>
      </c>
      <c r="B151" s="136" t="s">
        <v>1126</v>
      </c>
      <c r="C151" s="136" t="s">
        <v>1202</v>
      </c>
      <c r="D151" s="136" t="s">
        <v>1229</v>
      </c>
      <c r="E151" s="136" t="s">
        <v>1165</v>
      </c>
      <c r="F151" s="137">
        <v>6.0</v>
      </c>
      <c r="G151" s="137">
        <v>3.0</v>
      </c>
      <c r="H151" s="137">
        <v>3.0</v>
      </c>
      <c r="I151" s="137">
        <v>6.0</v>
      </c>
      <c r="J151" s="137">
        <v>3.0</v>
      </c>
      <c r="K151" s="137">
        <v>3.0</v>
      </c>
      <c r="L151" s="137">
        <v>9.0</v>
      </c>
      <c r="M151" s="137">
        <v>9.0</v>
      </c>
    </row>
    <row r="152">
      <c r="A152" s="137">
        <v>5739.0</v>
      </c>
      <c r="B152" s="136" t="s">
        <v>1126</v>
      </c>
      <c r="C152" s="136" t="s">
        <v>1211</v>
      </c>
      <c r="D152" s="136" t="s">
        <v>1029</v>
      </c>
      <c r="E152" s="136" t="s">
        <v>1152</v>
      </c>
      <c r="F152" s="137">
        <v>6.0</v>
      </c>
      <c r="G152" s="137">
        <v>8.0</v>
      </c>
      <c r="H152" s="137">
        <v>-2.0</v>
      </c>
      <c r="I152" s="137">
        <v>6.0</v>
      </c>
      <c r="J152" s="137">
        <v>9.0</v>
      </c>
      <c r="K152" s="137">
        <v>-3.0</v>
      </c>
      <c r="L152" s="137">
        <v>11.0</v>
      </c>
      <c r="M152" s="137">
        <v>13.0</v>
      </c>
    </row>
    <row r="153">
      <c r="A153" s="137">
        <v>513.0</v>
      </c>
      <c r="B153" s="136" t="s">
        <v>1126</v>
      </c>
      <c r="C153" s="136" t="s">
        <v>1204</v>
      </c>
      <c r="D153" s="136" t="s">
        <v>868</v>
      </c>
      <c r="E153" s="136" t="s">
        <v>1161</v>
      </c>
      <c r="F153" s="137">
        <v>6.0</v>
      </c>
      <c r="G153" s="137">
        <v>9.0</v>
      </c>
      <c r="H153" s="137">
        <v>-3.0</v>
      </c>
      <c r="I153" s="137">
        <v>6.0</v>
      </c>
      <c r="J153" s="137">
        <v>9.0</v>
      </c>
      <c r="K153" s="137">
        <v>-3.0</v>
      </c>
      <c r="L153" s="137">
        <v>10.0</v>
      </c>
      <c r="M153" s="137">
        <v>10.0</v>
      </c>
    </row>
    <row r="154">
      <c r="A154" s="137">
        <v>5620.0</v>
      </c>
      <c r="B154" s="136" t="s">
        <v>1126</v>
      </c>
      <c r="C154" s="136" t="s">
        <v>1203</v>
      </c>
      <c r="D154" s="136" t="s">
        <v>985</v>
      </c>
      <c r="E154" s="136" t="s">
        <v>1157</v>
      </c>
      <c r="F154" s="137">
        <v>6.0</v>
      </c>
      <c r="G154" s="137">
        <v>12.0</v>
      </c>
      <c r="H154" s="137">
        <v>-6.0</v>
      </c>
      <c r="I154" s="137">
        <v>6.0</v>
      </c>
      <c r="J154" s="137">
        <v>12.0</v>
      </c>
      <c r="K154" s="137">
        <v>-6.0</v>
      </c>
      <c r="L154" s="137">
        <v>7.0</v>
      </c>
      <c r="M154" s="137">
        <v>7.0</v>
      </c>
    </row>
    <row r="155">
      <c r="A155" s="137">
        <v>5307.0</v>
      </c>
      <c r="B155" s="136" t="s">
        <v>1126</v>
      </c>
      <c r="C155" s="136" t="s">
        <v>1204</v>
      </c>
      <c r="D155" s="136" t="s">
        <v>1230</v>
      </c>
      <c r="E155" s="136" t="s">
        <v>1167</v>
      </c>
      <c r="F155" s="137">
        <v>6.0</v>
      </c>
      <c r="G155" s="137">
        <v>4.0</v>
      </c>
      <c r="H155" s="137">
        <v>2.0</v>
      </c>
      <c r="I155" s="137">
        <v>6.0</v>
      </c>
      <c r="J155" s="137">
        <v>4.0</v>
      </c>
      <c r="K155" s="137">
        <v>2.0</v>
      </c>
      <c r="L155" s="137">
        <v>14.0</v>
      </c>
      <c r="M155" s="137">
        <v>14.0</v>
      </c>
    </row>
    <row r="156">
      <c r="A156" s="137">
        <v>2273.0</v>
      </c>
      <c r="B156" s="136" t="s">
        <v>1126</v>
      </c>
      <c r="C156" s="136" t="s">
        <v>1204</v>
      </c>
      <c r="D156" s="136" t="s">
        <v>1231</v>
      </c>
      <c r="E156" s="136" t="s">
        <v>1172</v>
      </c>
      <c r="F156" s="137">
        <v>6.0</v>
      </c>
      <c r="G156" s="137">
        <v>4.0</v>
      </c>
      <c r="H156" s="137">
        <v>2.0</v>
      </c>
      <c r="I156" s="137">
        <v>6.0</v>
      </c>
      <c r="J156" s="137">
        <v>4.0</v>
      </c>
      <c r="K156" s="137">
        <v>2.0</v>
      </c>
      <c r="L156" s="137">
        <v>12.0</v>
      </c>
      <c r="M156" s="137">
        <v>12.0</v>
      </c>
    </row>
    <row r="157">
      <c r="A157" s="137">
        <v>4374.0</v>
      </c>
      <c r="B157" s="136" t="s">
        <v>1126</v>
      </c>
      <c r="C157" s="136" t="s">
        <v>1211</v>
      </c>
      <c r="D157" s="136" t="s">
        <v>1232</v>
      </c>
      <c r="E157" s="136" t="s">
        <v>1164</v>
      </c>
      <c r="F157" s="137">
        <v>6.0</v>
      </c>
      <c r="G157" s="137">
        <v>5.0</v>
      </c>
      <c r="H157" s="137">
        <v>1.0</v>
      </c>
      <c r="I157" s="137">
        <v>6.0</v>
      </c>
      <c r="J157" s="137">
        <v>6.0</v>
      </c>
      <c r="K157" s="137">
        <v>0.0</v>
      </c>
      <c r="L157" s="137">
        <v>13.0</v>
      </c>
      <c r="M157" s="137">
        <v>15.0</v>
      </c>
    </row>
    <row r="158">
      <c r="A158" s="137">
        <v>5851.0</v>
      </c>
      <c r="B158" s="136" t="s">
        <v>1126</v>
      </c>
      <c r="C158" s="136" t="s">
        <v>1203</v>
      </c>
      <c r="D158" s="136" t="s">
        <v>718</v>
      </c>
      <c r="E158" s="136" t="s">
        <v>1164</v>
      </c>
      <c r="F158" s="137">
        <v>6.0</v>
      </c>
      <c r="G158" s="137">
        <v>6.0</v>
      </c>
      <c r="H158" s="137">
        <v>0.0</v>
      </c>
      <c r="I158" s="137">
        <v>6.0</v>
      </c>
      <c r="J158" s="137">
        <v>6.0</v>
      </c>
      <c r="K158" s="137">
        <v>0.0</v>
      </c>
      <c r="L158" s="137">
        <v>14.0</v>
      </c>
      <c r="M158" s="137">
        <v>14.0</v>
      </c>
    </row>
    <row r="159">
      <c r="A159" s="137">
        <v>5010.0</v>
      </c>
      <c r="B159" s="136" t="s">
        <v>1126</v>
      </c>
      <c r="C159" s="136" t="s">
        <v>1204</v>
      </c>
      <c r="D159" s="136" t="s">
        <v>994</v>
      </c>
      <c r="E159" s="136" t="s">
        <v>1175</v>
      </c>
      <c r="F159" s="137">
        <v>6.0</v>
      </c>
      <c r="G159" s="137">
        <v>8.0</v>
      </c>
      <c r="H159" s="137">
        <v>-2.0</v>
      </c>
      <c r="I159" s="137">
        <v>6.0</v>
      </c>
      <c r="J159" s="137">
        <v>8.0</v>
      </c>
      <c r="K159" s="137">
        <v>-2.0</v>
      </c>
      <c r="L159" s="137">
        <v>10.0</v>
      </c>
      <c r="M159" s="137">
        <v>10.0</v>
      </c>
    </row>
    <row r="160">
      <c r="A160" s="137">
        <v>4385.0</v>
      </c>
      <c r="B160" s="136" t="s">
        <v>1126</v>
      </c>
      <c r="C160" s="136" t="s">
        <v>1207</v>
      </c>
      <c r="D160" s="136" t="s">
        <v>882</v>
      </c>
      <c r="E160" s="136" t="s">
        <v>1175</v>
      </c>
      <c r="F160" s="137">
        <v>6.0</v>
      </c>
      <c r="G160" s="137">
        <v>7.0</v>
      </c>
      <c r="H160" s="137">
        <v>-1.0</v>
      </c>
      <c r="I160" s="137">
        <v>6.0</v>
      </c>
      <c r="J160" s="137">
        <v>7.0</v>
      </c>
      <c r="K160" s="137">
        <v>-1.0</v>
      </c>
      <c r="L160" s="137">
        <v>12.0</v>
      </c>
      <c r="M160" s="137">
        <v>12.0</v>
      </c>
    </row>
    <row r="161">
      <c r="A161" s="137">
        <v>5820.0</v>
      </c>
      <c r="B161" s="136" t="s">
        <v>1126</v>
      </c>
      <c r="C161" s="136" t="s">
        <v>1204</v>
      </c>
      <c r="D161" s="136" t="s">
        <v>1233</v>
      </c>
      <c r="E161" s="136" t="s">
        <v>1168</v>
      </c>
      <c r="F161" s="137">
        <v>6.0</v>
      </c>
      <c r="G161" s="137">
        <v>6.0</v>
      </c>
      <c r="H161" s="137">
        <v>0.0</v>
      </c>
      <c r="I161" s="137">
        <v>6.0</v>
      </c>
      <c r="J161" s="137">
        <v>6.0</v>
      </c>
      <c r="K161" s="137">
        <v>0.0</v>
      </c>
      <c r="L161" s="137">
        <v>12.0</v>
      </c>
      <c r="M161" s="137">
        <v>12.0</v>
      </c>
    </row>
    <row r="162">
      <c r="A162" s="137">
        <v>6485.0</v>
      </c>
      <c r="B162" s="136" t="s">
        <v>1126</v>
      </c>
      <c r="C162" s="136" t="s">
        <v>1211</v>
      </c>
      <c r="D162" s="136" t="s">
        <v>1036</v>
      </c>
      <c r="E162" s="136" t="s">
        <v>1168</v>
      </c>
      <c r="F162" s="137">
        <v>6.0</v>
      </c>
      <c r="G162" s="137">
        <v>5.0</v>
      </c>
      <c r="H162" s="137">
        <v>1.0</v>
      </c>
      <c r="I162" s="137">
        <v>6.0</v>
      </c>
      <c r="J162" s="137">
        <v>5.0</v>
      </c>
      <c r="K162" s="137">
        <v>1.0</v>
      </c>
      <c r="L162" s="137">
        <v>12.0</v>
      </c>
      <c r="M162" s="137">
        <v>14.0</v>
      </c>
    </row>
    <row r="163">
      <c r="A163" s="137">
        <v>6639.0</v>
      </c>
      <c r="B163" s="136" t="s">
        <v>1126</v>
      </c>
      <c r="C163" s="136" t="s">
        <v>1203</v>
      </c>
      <c r="D163" s="136" t="s">
        <v>1037</v>
      </c>
      <c r="E163" s="136" t="s">
        <v>1173</v>
      </c>
      <c r="F163" s="137">
        <v>6.0</v>
      </c>
      <c r="G163" s="137">
        <v>3.0</v>
      </c>
      <c r="H163" s="137">
        <v>3.0</v>
      </c>
      <c r="I163" s="137">
        <v>6.0</v>
      </c>
      <c r="J163" s="137">
        <v>3.0</v>
      </c>
      <c r="K163" s="137">
        <v>3.0</v>
      </c>
      <c r="L163" s="137">
        <v>12.0</v>
      </c>
      <c r="M163" s="137">
        <v>12.0</v>
      </c>
    </row>
    <row r="164">
      <c r="A164" s="137">
        <v>7329.0</v>
      </c>
      <c r="B164" s="136" t="s">
        <v>1126</v>
      </c>
      <c r="C164" s="136" t="s">
        <v>1203</v>
      </c>
      <c r="D164" s="136" t="s">
        <v>1234</v>
      </c>
      <c r="E164" s="136" t="s">
        <v>1175</v>
      </c>
      <c r="F164" s="137">
        <v>6.0</v>
      </c>
      <c r="G164" s="137">
        <v>6.0</v>
      </c>
      <c r="H164" s="137">
        <v>0.0</v>
      </c>
      <c r="I164" s="137">
        <v>6.0</v>
      </c>
      <c r="J164" s="137">
        <v>6.0</v>
      </c>
      <c r="K164" s="137">
        <v>0.0</v>
      </c>
      <c r="L164" s="137">
        <v>15.0</v>
      </c>
      <c r="M164" s="137">
        <v>15.0</v>
      </c>
    </row>
    <row r="165">
      <c r="A165" s="137">
        <v>5701.0</v>
      </c>
      <c r="B165" s="136" t="s">
        <v>1126</v>
      </c>
      <c r="C165" s="136" t="s">
        <v>1213</v>
      </c>
      <c r="D165" s="136" t="s">
        <v>1085</v>
      </c>
      <c r="E165" s="136" t="s">
        <v>1162</v>
      </c>
      <c r="F165" s="137">
        <v>5.0</v>
      </c>
      <c r="G165" s="137">
        <v>4.0</v>
      </c>
      <c r="H165" s="137">
        <v>1.0</v>
      </c>
      <c r="I165" s="137">
        <v>5.0</v>
      </c>
      <c r="J165" s="137">
        <v>4.0</v>
      </c>
      <c r="K165" s="137">
        <v>1.0</v>
      </c>
      <c r="L165" s="137">
        <v>11.0</v>
      </c>
      <c r="M165" s="137">
        <v>14.0</v>
      </c>
    </row>
    <row r="166">
      <c r="A166" s="137">
        <v>5831.0</v>
      </c>
      <c r="B166" s="136" t="s">
        <v>1126</v>
      </c>
      <c r="C166" s="136" t="s">
        <v>1204</v>
      </c>
      <c r="D166" s="136" t="s">
        <v>592</v>
      </c>
      <c r="E166" s="136" t="s">
        <v>1158</v>
      </c>
      <c r="F166" s="137">
        <v>5.0</v>
      </c>
      <c r="G166" s="137">
        <v>8.0</v>
      </c>
      <c r="H166" s="137">
        <v>-3.0</v>
      </c>
      <c r="I166" s="137">
        <v>5.0</v>
      </c>
      <c r="J166" s="137">
        <v>8.0</v>
      </c>
      <c r="K166" s="137">
        <v>-3.0</v>
      </c>
      <c r="L166" s="137">
        <v>8.0</v>
      </c>
      <c r="M166" s="137">
        <v>8.0</v>
      </c>
    </row>
    <row r="167">
      <c r="A167" s="137">
        <v>2728.0</v>
      </c>
      <c r="B167" s="136" t="s">
        <v>1126</v>
      </c>
      <c r="C167" s="136" t="s">
        <v>1203</v>
      </c>
      <c r="D167" s="136" t="s">
        <v>1235</v>
      </c>
      <c r="E167" s="136" t="s">
        <v>1157</v>
      </c>
      <c r="F167" s="137">
        <v>5.0</v>
      </c>
      <c r="G167" s="137">
        <v>3.0</v>
      </c>
      <c r="H167" s="137">
        <v>2.0</v>
      </c>
      <c r="I167" s="137">
        <v>5.0</v>
      </c>
      <c r="J167" s="137">
        <v>3.0</v>
      </c>
      <c r="K167" s="137">
        <v>2.0</v>
      </c>
      <c r="L167" s="137">
        <v>11.0</v>
      </c>
      <c r="M167" s="137">
        <v>11.0</v>
      </c>
    </row>
    <row r="168">
      <c r="A168" s="137">
        <v>6990.0</v>
      </c>
      <c r="B168" s="136" t="s">
        <v>1126</v>
      </c>
      <c r="C168" s="136" t="s">
        <v>1207</v>
      </c>
      <c r="D168" s="136" t="s">
        <v>1236</v>
      </c>
      <c r="E168" s="136" t="s">
        <v>1159</v>
      </c>
      <c r="F168" s="137">
        <v>5.0</v>
      </c>
      <c r="G168" s="137">
        <v>1.0</v>
      </c>
      <c r="H168" s="137">
        <v>4.0</v>
      </c>
      <c r="I168" s="137">
        <v>5.0</v>
      </c>
      <c r="J168" s="137">
        <v>1.0</v>
      </c>
      <c r="K168" s="137">
        <v>4.0</v>
      </c>
      <c r="L168" s="137">
        <v>13.0</v>
      </c>
      <c r="M168" s="137">
        <v>13.0</v>
      </c>
    </row>
    <row r="169">
      <c r="A169" s="137">
        <v>7139.0</v>
      </c>
      <c r="B169" s="136" t="s">
        <v>1126</v>
      </c>
      <c r="C169" s="136" t="s">
        <v>1204</v>
      </c>
      <c r="D169" s="136" t="s">
        <v>1033</v>
      </c>
      <c r="E169" s="136" t="s">
        <v>1172</v>
      </c>
      <c r="F169" s="137">
        <v>5.0</v>
      </c>
      <c r="G169" s="137">
        <v>3.0</v>
      </c>
      <c r="H169" s="137">
        <v>2.0</v>
      </c>
      <c r="I169" s="137">
        <v>5.0</v>
      </c>
      <c r="J169" s="137">
        <v>3.0</v>
      </c>
      <c r="K169" s="137">
        <v>2.0</v>
      </c>
      <c r="L169" s="137">
        <v>12.0</v>
      </c>
      <c r="M169" s="137">
        <v>12.0</v>
      </c>
    </row>
    <row r="170">
      <c r="A170" s="137">
        <v>2745.0</v>
      </c>
      <c r="B170" s="136" t="s">
        <v>1126</v>
      </c>
      <c r="C170" s="136" t="s">
        <v>1206</v>
      </c>
      <c r="D170" s="136" t="s">
        <v>1237</v>
      </c>
      <c r="E170" s="136" t="s">
        <v>1172</v>
      </c>
      <c r="F170" s="137">
        <v>5.0</v>
      </c>
      <c r="G170" s="137">
        <v>3.0</v>
      </c>
      <c r="H170" s="137">
        <v>2.0</v>
      </c>
      <c r="I170" s="137">
        <v>5.0</v>
      </c>
      <c r="J170" s="137">
        <v>4.0</v>
      </c>
      <c r="K170" s="137">
        <v>1.0</v>
      </c>
      <c r="L170" s="137">
        <v>7.0</v>
      </c>
      <c r="M170" s="137">
        <v>9.0</v>
      </c>
    </row>
    <row r="171">
      <c r="A171" s="137">
        <v>6986.0</v>
      </c>
      <c r="B171" s="136" t="s">
        <v>1126</v>
      </c>
      <c r="C171" s="136" t="s">
        <v>1206</v>
      </c>
      <c r="D171" s="136" t="s">
        <v>1238</v>
      </c>
      <c r="E171" s="136" t="s">
        <v>1153</v>
      </c>
      <c r="F171" s="137">
        <v>5.0</v>
      </c>
      <c r="G171" s="137">
        <v>5.0</v>
      </c>
      <c r="H171" s="137">
        <v>0.0</v>
      </c>
      <c r="I171" s="137">
        <v>6.0</v>
      </c>
      <c r="J171" s="137">
        <v>6.0</v>
      </c>
      <c r="K171" s="137">
        <v>0.0</v>
      </c>
      <c r="L171" s="137">
        <v>10.0</v>
      </c>
      <c r="M171" s="137">
        <v>12.0</v>
      </c>
    </row>
    <row r="172">
      <c r="A172" s="137">
        <v>5555.0</v>
      </c>
      <c r="B172" s="136" t="s">
        <v>1126</v>
      </c>
      <c r="C172" s="136" t="s">
        <v>1203</v>
      </c>
      <c r="D172" s="136" t="s">
        <v>823</v>
      </c>
      <c r="E172" s="136" t="s">
        <v>1168</v>
      </c>
      <c r="F172" s="137">
        <v>5.0</v>
      </c>
      <c r="G172" s="137">
        <v>7.0</v>
      </c>
      <c r="H172" s="137">
        <v>-2.0</v>
      </c>
      <c r="I172" s="137">
        <v>5.0</v>
      </c>
      <c r="J172" s="137">
        <v>7.0</v>
      </c>
      <c r="K172" s="137">
        <v>-2.0</v>
      </c>
      <c r="L172" s="137">
        <v>15.0</v>
      </c>
      <c r="M172" s="137">
        <v>15.0</v>
      </c>
    </row>
    <row r="173">
      <c r="A173" s="137">
        <v>5532.0</v>
      </c>
      <c r="B173" s="136" t="s">
        <v>1126</v>
      </c>
      <c r="C173" s="136" t="s">
        <v>1203</v>
      </c>
      <c r="D173" s="136" t="s">
        <v>1239</v>
      </c>
      <c r="E173" s="136" t="s">
        <v>1173</v>
      </c>
      <c r="F173" s="137">
        <v>5.0</v>
      </c>
      <c r="G173" s="137">
        <v>4.0</v>
      </c>
      <c r="H173" s="137">
        <v>1.0</v>
      </c>
      <c r="I173" s="137">
        <v>5.0</v>
      </c>
      <c r="J173" s="137">
        <v>4.0</v>
      </c>
      <c r="K173" s="137">
        <v>1.0</v>
      </c>
      <c r="L173" s="137">
        <v>11.0</v>
      </c>
      <c r="M173" s="137">
        <v>11.0</v>
      </c>
    </row>
    <row r="174">
      <c r="A174" s="137">
        <v>2640.0</v>
      </c>
      <c r="B174" s="136" t="s">
        <v>1126</v>
      </c>
      <c r="C174" s="136" t="s">
        <v>1209</v>
      </c>
      <c r="D174" s="136" t="s">
        <v>809</v>
      </c>
      <c r="E174" s="136" t="s">
        <v>1154</v>
      </c>
      <c r="F174" s="137">
        <v>4.0</v>
      </c>
      <c r="G174" s="137">
        <v>7.0</v>
      </c>
      <c r="H174" s="137">
        <v>-3.0</v>
      </c>
      <c r="I174" s="137">
        <v>4.0</v>
      </c>
      <c r="J174" s="137">
        <v>7.0</v>
      </c>
      <c r="K174" s="137">
        <v>-3.0</v>
      </c>
      <c r="L174" s="137">
        <v>17.0</v>
      </c>
      <c r="M174" s="137">
        <v>20.0</v>
      </c>
    </row>
    <row r="175">
      <c r="A175" s="137">
        <v>7068.0</v>
      </c>
      <c r="B175" s="136" t="s">
        <v>1126</v>
      </c>
      <c r="C175" s="136" t="s">
        <v>1204</v>
      </c>
      <c r="D175" s="136" t="s">
        <v>1078</v>
      </c>
      <c r="E175" s="136" t="s">
        <v>1169</v>
      </c>
      <c r="F175" s="137">
        <v>4.0</v>
      </c>
      <c r="G175" s="137">
        <v>8.0</v>
      </c>
      <c r="H175" s="137">
        <v>-4.0</v>
      </c>
      <c r="I175" s="137">
        <v>4.0</v>
      </c>
      <c r="J175" s="137">
        <v>8.0</v>
      </c>
      <c r="K175" s="137">
        <v>-4.0</v>
      </c>
      <c r="L175" s="137">
        <v>13.0</v>
      </c>
      <c r="M175" s="137">
        <v>13.0</v>
      </c>
    </row>
    <row r="176">
      <c r="A176" s="137">
        <v>7014.0</v>
      </c>
      <c r="B176" s="136" t="s">
        <v>1126</v>
      </c>
      <c r="C176" s="136" t="s">
        <v>1211</v>
      </c>
      <c r="D176" s="136" t="s">
        <v>1240</v>
      </c>
      <c r="E176" s="136" t="s">
        <v>1156</v>
      </c>
      <c r="F176" s="137">
        <v>4.0</v>
      </c>
      <c r="G176" s="137">
        <v>2.0</v>
      </c>
      <c r="H176" s="137">
        <v>2.0</v>
      </c>
      <c r="I176" s="137">
        <v>4.0</v>
      </c>
      <c r="J176" s="137">
        <v>2.0</v>
      </c>
      <c r="K176" s="137">
        <v>2.0</v>
      </c>
      <c r="L176" s="137">
        <v>12.0</v>
      </c>
      <c r="M176" s="137">
        <v>12.0</v>
      </c>
    </row>
    <row r="177">
      <c r="A177" s="137">
        <v>7131.0</v>
      </c>
      <c r="B177" s="136" t="s">
        <v>1126</v>
      </c>
      <c r="C177" s="136" t="s">
        <v>1207</v>
      </c>
      <c r="D177" s="136" t="s">
        <v>1081</v>
      </c>
      <c r="E177" s="136" t="s">
        <v>1160</v>
      </c>
      <c r="F177" s="137">
        <v>4.0</v>
      </c>
      <c r="G177" s="137">
        <v>5.0</v>
      </c>
      <c r="H177" s="137">
        <v>-1.0</v>
      </c>
      <c r="I177" s="137">
        <v>4.0</v>
      </c>
      <c r="J177" s="137">
        <v>5.0</v>
      </c>
      <c r="K177" s="137">
        <v>-1.0</v>
      </c>
      <c r="L177" s="137">
        <v>10.0</v>
      </c>
      <c r="M177" s="137">
        <v>10.0</v>
      </c>
    </row>
    <row r="178">
      <c r="A178" s="137">
        <v>770.0</v>
      </c>
      <c r="B178" s="136" t="s">
        <v>1126</v>
      </c>
      <c r="C178" s="136" t="s">
        <v>1203</v>
      </c>
      <c r="D178" s="136" t="s">
        <v>991</v>
      </c>
      <c r="E178" s="136" t="s">
        <v>1160</v>
      </c>
      <c r="F178" s="137">
        <v>4.0</v>
      </c>
      <c r="G178" s="137">
        <v>5.0</v>
      </c>
      <c r="H178" s="137">
        <v>-1.0</v>
      </c>
      <c r="I178" s="137">
        <v>4.0</v>
      </c>
      <c r="J178" s="137">
        <v>5.0</v>
      </c>
      <c r="K178" s="137">
        <v>-1.0</v>
      </c>
      <c r="L178" s="137">
        <v>11.0</v>
      </c>
      <c r="M178" s="137">
        <v>11.0</v>
      </c>
    </row>
    <row r="179">
      <c r="A179" s="137">
        <v>5603.0</v>
      </c>
      <c r="B179" s="136" t="s">
        <v>1126</v>
      </c>
      <c r="C179" s="136" t="s">
        <v>1204</v>
      </c>
      <c r="D179" s="136" t="s">
        <v>1077</v>
      </c>
      <c r="E179" s="136" t="s">
        <v>1165</v>
      </c>
      <c r="F179" s="137">
        <v>4.0</v>
      </c>
      <c r="G179" s="137">
        <v>5.0</v>
      </c>
      <c r="H179" s="137">
        <v>-1.0</v>
      </c>
      <c r="I179" s="137">
        <v>4.0</v>
      </c>
      <c r="J179" s="137">
        <v>5.0</v>
      </c>
      <c r="K179" s="137">
        <v>-1.0</v>
      </c>
      <c r="L179" s="137">
        <v>12.0</v>
      </c>
      <c r="M179" s="137">
        <v>12.0</v>
      </c>
    </row>
    <row r="180">
      <c r="A180" s="137">
        <v>322.0</v>
      </c>
      <c r="B180" s="136" t="s">
        <v>1126</v>
      </c>
      <c r="C180" s="136" t="s">
        <v>1204</v>
      </c>
      <c r="D180" s="136" t="s">
        <v>700</v>
      </c>
      <c r="E180" s="136" t="s">
        <v>1161</v>
      </c>
      <c r="F180" s="137">
        <v>4.0</v>
      </c>
      <c r="G180" s="137">
        <v>9.0</v>
      </c>
      <c r="H180" s="137">
        <v>-5.0</v>
      </c>
      <c r="I180" s="137">
        <v>4.0</v>
      </c>
      <c r="J180" s="137">
        <v>9.0</v>
      </c>
      <c r="K180" s="137">
        <v>-5.0</v>
      </c>
      <c r="L180" s="137">
        <v>10.0</v>
      </c>
      <c r="M180" s="137">
        <v>10.0</v>
      </c>
    </row>
    <row r="181">
      <c r="A181" s="137">
        <v>2263.0</v>
      </c>
      <c r="B181" s="136" t="s">
        <v>1126</v>
      </c>
      <c r="C181" s="136" t="s">
        <v>1207</v>
      </c>
      <c r="D181" s="136" t="s">
        <v>574</v>
      </c>
      <c r="E181" s="136" t="s">
        <v>1157</v>
      </c>
      <c r="F181" s="137">
        <v>4.0</v>
      </c>
      <c r="G181" s="137">
        <v>4.0</v>
      </c>
      <c r="H181" s="137">
        <v>0.0</v>
      </c>
      <c r="I181" s="137">
        <v>4.0</v>
      </c>
      <c r="J181" s="137">
        <v>4.0</v>
      </c>
      <c r="K181" s="137">
        <v>0.0</v>
      </c>
      <c r="L181" s="137">
        <v>8.0</v>
      </c>
      <c r="M181" s="137">
        <v>8.0</v>
      </c>
    </row>
    <row r="182">
      <c r="A182" s="137">
        <v>6632.0</v>
      </c>
      <c r="B182" s="136" t="s">
        <v>1126</v>
      </c>
      <c r="C182" s="136" t="s">
        <v>1204</v>
      </c>
      <c r="D182" s="136" t="s">
        <v>993</v>
      </c>
      <c r="E182" s="136" t="s">
        <v>1159</v>
      </c>
      <c r="F182" s="137">
        <v>4.0</v>
      </c>
      <c r="G182" s="137">
        <v>8.0</v>
      </c>
      <c r="H182" s="137">
        <v>-4.0</v>
      </c>
      <c r="I182" s="137">
        <v>4.0</v>
      </c>
      <c r="J182" s="137">
        <v>8.0</v>
      </c>
      <c r="K182" s="137">
        <v>-4.0</v>
      </c>
      <c r="L182" s="137">
        <v>15.0</v>
      </c>
      <c r="M182" s="137">
        <v>15.0</v>
      </c>
    </row>
    <row r="183">
      <c r="A183" s="137">
        <v>6426.0</v>
      </c>
      <c r="B183" s="136" t="s">
        <v>1126</v>
      </c>
      <c r="C183" s="136" t="s">
        <v>1207</v>
      </c>
      <c r="D183" s="136" t="s">
        <v>1241</v>
      </c>
      <c r="E183" s="136" t="s">
        <v>1175</v>
      </c>
      <c r="F183" s="137">
        <v>4.0</v>
      </c>
      <c r="G183" s="137">
        <v>4.0</v>
      </c>
      <c r="H183" s="137">
        <v>0.0</v>
      </c>
      <c r="I183" s="137">
        <v>4.0</v>
      </c>
      <c r="J183" s="137">
        <v>4.0</v>
      </c>
      <c r="K183" s="137">
        <v>0.0</v>
      </c>
      <c r="L183" s="137">
        <v>11.0</v>
      </c>
      <c r="M183" s="137">
        <v>11.0</v>
      </c>
    </row>
    <row r="184">
      <c r="A184" s="137">
        <v>6631.0</v>
      </c>
      <c r="B184" s="136" t="s">
        <v>1126</v>
      </c>
      <c r="C184" s="136" t="s">
        <v>1204</v>
      </c>
      <c r="D184" s="136" t="s">
        <v>1242</v>
      </c>
      <c r="E184" s="136" t="s">
        <v>1153</v>
      </c>
      <c r="F184" s="137">
        <v>4.0</v>
      </c>
      <c r="G184" s="137">
        <v>4.0</v>
      </c>
      <c r="H184" s="137">
        <v>0.0</v>
      </c>
      <c r="I184" s="137">
        <v>4.0</v>
      </c>
      <c r="J184" s="137">
        <v>4.0</v>
      </c>
      <c r="K184" s="137">
        <v>0.0</v>
      </c>
      <c r="L184" s="137">
        <v>12.0</v>
      </c>
      <c r="M184" s="137">
        <v>12.0</v>
      </c>
    </row>
    <row r="185">
      <c r="A185" s="137">
        <v>7011.0</v>
      </c>
      <c r="B185" s="136" t="s">
        <v>1126</v>
      </c>
      <c r="C185" s="136" t="s">
        <v>1204</v>
      </c>
      <c r="D185" s="136" t="s">
        <v>1243</v>
      </c>
      <c r="E185" s="136" t="s">
        <v>1173</v>
      </c>
      <c r="F185" s="137">
        <v>4.0</v>
      </c>
      <c r="G185" s="137">
        <v>2.0</v>
      </c>
      <c r="H185" s="137">
        <v>2.0</v>
      </c>
      <c r="I185" s="137">
        <v>4.0</v>
      </c>
      <c r="J185" s="137">
        <v>2.0</v>
      </c>
      <c r="K185" s="137">
        <v>2.0</v>
      </c>
      <c r="L185" s="137">
        <v>7.0</v>
      </c>
      <c r="M185" s="137">
        <v>7.0</v>
      </c>
    </row>
    <row r="186">
      <c r="A186" s="137">
        <v>7018.0</v>
      </c>
      <c r="B186" s="136" t="s">
        <v>1126</v>
      </c>
      <c r="C186" s="136" t="s">
        <v>1204</v>
      </c>
      <c r="D186" s="136" t="s">
        <v>1244</v>
      </c>
      <c r="E186" s="136" t="s">
        <v>1173</v>
      </c>
      <c r="F186" s="137">
        <v>4.0</v>
      </c>
      <c r="G186" s="137">
        <v>5.0</v>
      </c>
      <c r="H186" s="137">
        <v>-1.0</v>
      </c>
      <c r="I186" s="137">
        <v>4.0</v>
      </c>
      <c r="J186" s="137">
        <v>5.0</v>
      </c>
      <c r="K186" s="137">
        <v>-1.0</v>
      </c>
      <c r="L186" s="137">
        <v>16.0</v>
      </c>
      <c r="M186" s="137">
        <v>16.0</v>
      </c>
    </row>
    <row r="187">
      <c r="A187" s="137">
        <v>7253.0</v>
      </c>
      <c r="B187" s="136" t="s">
        <v>1126</v>
      </c>
      <c r="C187" s="136" t="s">
        <v>1204</v>
      </c>
      <c r="D187" s="136" t="s">
        <v>1245</v>
      </c>
      <c r="E187" s="136" t="s">
        <v>1173</v>
      </c>
      <c r="F187" s="137">
        <v>4.0</v>
      </c>
      <c r="G187" s="137">
        <v>6.0</v>
      </c>
      <c r="H187" s="137">
        <v>-2.0</v>
      </c>
      <c r="I187" s="137">
        <v>4.0</v>
      </c>
      <c r="J187" s="137">
        <v>6.0</v>
      </c>
      <c r="K187" s="137">
        <v>-2.0</v>
      </c>
      <c r="L187" s="137">
        <v>13.0</v>
      </c>
      <c r="M187" s="137">
        <v>13.0</v>
      </c>
    </row>
    <row r="188">
      <c r="A188" s="137">
        <v>7260.0</v>
      </c>
      <c r="B188" s="136" t="s">
        <v>1126</v>
      </c>
      <c r="C188" s="136" t="s">
        <v>1204</v>
      </c>
      <c r="D188" s="136" t="s">
        <v>1246</v>
      </c>
      <c r="E188" s="136" t="s">
        <v>1153</v>
      </c>
      <c r="F188" s="137">
        <v>4.0</v>
      </c>
      <c r="G188" s="137">
        <v>3.0</v>
      </c>
      <c r="H188" s="137">
        <v>1.0</v>
      </c>
      <c r="I188" s="137">
        <v>4.0</v>
      </c>
      <c r="J188" s="137">
        <v>3.0</v>
      </c>
      <c r="K188" s="137">
        <v>1.0</v>
      </c>
      <c r="L188" s="137">
        <v>12.0</v>
      </c>
      <c r="M188" s="137">
        <v>12.0</v>
      </c>
    </row>
    <row r="189">
      <c r="A189" s="137">
        <v>5168.0</v>
      </c>
      <c r="B189" s="136" t="s">
        <v>1126</v>
      </c>
      <c r="C189" s="136" t="s">
        <v>1203</v>
      </c>
      <c r="D189" s="136" t="s">
        <v>1247</v>
      </c>
      <c r="E189" s="136" t="s">
        <v>1153</v>
      </c>
      <c r="F189" s="137">
        <v>4.0</v>
      </c>
      <c r="G189" s="137">
        <v>4.0</v>
      </c>
      <c r="H189" s="137">
        <v>0.0</v>
      </c>
      <c r="I189" s="137">
        <v>4.0</v>
      </c>
      <c r="J189" s="137">
        <v>4.0</v>
      </c>
      <c r="K189" s="137">
        <v>0.0</v>
      </c>
      <c r="L189" s="137">
        <v>9.0</v>
      </c>
      <c r="M189" s="137">
        <v>9.0</v>
      </c>
    </row>
    <row r="190">
      <c r="A190" s="137">
        <v>2006.0</v>
      </c>
      <c r="B190" s="136" t="s">
        <v>1126</v>
      </c>
      <c r="C190" s="136" t="s">
        <v>1206</v>
      </c>
      <c r="D190" s="136" t="s">
        <v>1248</v>
      </c>
      <c r="E190" s="136" t="s">
        <v>1173</v>
      </c>
      <c r="F190" s="137">
        <v>4.0</v>
      </c>
      <c r="G190" s="137">
        <v>4.0</v>
      </c>
      <c r="H190" s="137">
        <v>0.0</v>
      </c>
      <c r="I190" s="137">
        <v>4.0</v>
      </c>
      <c r="J190" s="137">
        <v>4.0</v>
      </c>
      <c r="K190" s="137">
        <v>0.0</v>
      </c>
      <c r="L190" s="137">
        <v>11.0</v>
      </c>
      <c r="M190" s="137">
        <v>11.0</v>
      </c>
    </row>
    <row r="191">
      <c r="A191" s="137">
        <v>7335.0</v>
      </c>
      <c r="B191" s="136" t="s">
        <v>1126</v>
      </c>
      <c r="C191" s="136" t="s">
        <v>1204</v>
      </c>
      <c r="D191" s="136" t="s">
        <v>1249</v>
      </c>
      <c r="E191" s="136" t="s">
        <v>1170</v>
      </c>
      <c r="F191" s="137">
        <v>4.0</v>
      </c>
      <c r="G191" s="137">
        <v>4.0</v>
      </c>
      <c r="H191" s="137">
        <v>0.0</v>
      </c>
      <c r="I191" s="137">
        <v>4.0</v>
      </c>
      <c r="J191" s="137">
        <v>4.0</v>
      </c>
      <c r="K191" s="137">
        <v>0.0</v>
      </c>
      <c r="L191" s="137">
        <v>10.0</v>
      </c>
      <c r="M191" s="137">
        <v>10.0</v>
      </c>
    </row>
    <row r="192">
      <c r="A192" s="137">
        <v>7012.0</v>
      </c>
      <c r="B192" s="136" t="s">
        <v>1126</v>
      </c>
      <c r="C192" s="136" t="s">
        <v>1204</v>
      </c>
      <c r="D192" s="136" t="s">
        <v>1250</v>
      </c>
      <c r="E192" s="136" t="s">
        <v>1157</v>
      </c>
      <c r="F192" s="137">
        <v>3.0</v>
      </c>
      <c r="G192" s="137">
        <v>3.0</v>
      </c>
      <c r="H192" s="137">
        <v>0.0</v>
      </c>
      <c r="I192" s="137">
        <v>3.0</v>
      </c>
      <c r="J192" s="137">
        <v>3.0</v>
      </c>
      <c r="K192" s="137">
        <v>0.0</v>
      </c>
      <c r="L192" s="137">
        <v>7.0</v>
      </c>
      <c r="M192" s="137">
        <v>7.0</v>
      </c>
    </row>
    <row r="193">
      <c r="A193" s="137">
        <v>7182.0</v>
      </c>
      <c r="B193" s="136" t="s">
        <v>1126</v>
      </c>
      <c r="C193" s="136" t="s">
        <v>1203</v>
      </c>
      <c r="D193" s="136" t="s">
        <v>1251</v>
      </c>
      <c r="E193" s="136" t="s">
        <v>1159</v>
      </c>
      <c r="F193" s="137">
        <v>3.0</v>
      </c>
      <c r="G193" s="137">
        <v>1.0</v>
      </c>
      <c r="H193" s="137">
        <v>2.0</v>
      </c>
      <c r="I193" s="137">
        <v>3.0</v>
      </c>
      <c r="J193" s="137">
        <v>1.0</v>
      </c>
      <c r="K193" s="137">
        <v>2.0</v>
      </c>
      <c r="L193" s="137">
        <v>8.0</v>
      </c>
      <c r="M193" s="137">
        <v>8.0</v>
      </c>
    </row>
    <row r="194">
      <c r="A194" s="137">
        <v>5273.0</v>
      </c>
      <c r="B194" s="136" t="s">
        <v>1126</v>
      </c>
      <c r="C194" s="136" t="s">
        <v>1203</v>
      </c>
      <c r="D194" s="136" t="s">
        <v>1026</v>
      </c>
      <c r="E194" s="136" t="s">
        <v>1152</v>
      </c>
      <c r="F194" s="137">
        <v>3.0</v>
      </c>
      <c r="G194" s="137">
        <v>11.0</v>
      </c>
      <c r="H194" s="137">
        <v>-8.0</v>
      </c>
      <c r="I194" s="137">
        <v>3.0</v>
      </c>
      <c r="J194" s="137">
        <v>11.0</v>
      </c>
      <c r="K194" s="137">
        <v>-8.0</v>
      </c>
      <c r="L194" s="137">
        <v>10.0</v>
      </c>
      <c r="M194" s="137">
        <v>10.0</v>
      </c>
    </row>
    <row r="195">
      <c r="A195" s="137">
        <v>256.0</v>
      </c>
      <c r="B195" s="136" t="s">
        <v>1126</v>
      </c>
      <c r="C195" s="136" t="s">
        <v>1213</v>
      </c>
      <c r="D195" s="136" t="s">
        <v>721</v>
      </c>
      <c r="E195" s="136" t="s">
        <v>1155</v>
      </c>
      <c r="F195" s="137">
        <v>3.0</v>
      </c>
      <c r="G195" s="137">
        <v>3.0</v>
      </c>
      <c r="H195" s="137">
        <v>0.0</v>
      </c>
      <c r="I195" s="137">
        <v>3.0</v>
      </c>
      <c r="J195" s="137">
        <v>3.0</v>
      </c>
      <c r="K195" s="137">
        <v>0.0</v>
      </c>
      <c r="L195" s="137">
        <v>20.0</v>
      </c>
      <c r="M195" s="137">
        <v>22.0</v>
      </c>
    </row>
    <row r="196">
      <c r="A196" s="137">
        <v>5840.0</v>
      </c>
      <c r="B196" s="136" t="s">
        <v>1126</v>
      </c>
      <c r="C196" s="136" t="s">
        <v>1203</v>
      </c>
      <c r="D196" s="136" t="s">
        <v>722</v>
      </c>
      <c r="E196" s="136" t="s">
        <v>1155</v>
      </c>
      <c r="F196" s="137">
        <v>3.0</v>
      </c>
      <c r="G196" s="137">
        <v>10.0</v>
      </c>
      <c r="H196" s="137">
        <v>-7.0</v>
      </c>
      <c r="I196" s="137">
        <v>3.0</v>
      </c>
      <c r="J196" s="137">
        <v>10.0</v>
      </c>
      <c r="K196" s="137">
        <v>-7.0</v>
      </c>
      <c r="L196" s="137">
        <v>9.0</v>
      </c>
      <c r="M196" s="137">
        <v>9.0</v>
      </c>
    </row>
    <row r="197">
      <c r="A197" s="137">
        <v>6047.0</v>
      </c>
      <c r="B197" s="136" t="s">
        <v>1126</v>
      </c>
      <c r="C197" s="136" t="s">
        <v>1207</v>
      </c>
      <c r="D197" s="136" t="s">
        <v>940</v>
      </c>
      <c r="E197" s="136" t="s">
        <v>1168</v>
      </c>
      <c r="F197" s="137">
        <v>3.0</v>
      </c>
      <c r="G197" s="137">
        <v>5.0</v>
      </c>
      <c r="H197" s="137">
        <v>-2.0</v>
      </c>
      <c r="I197" s="137">
        <v>3.0</v>
      </c>
      <c r="J197" s="137">
        <v>5.0</v>
      </c>
      <c r="K197" s="137">
        <v>-2.0</v>
      </c>
      <c r="L197" s="137">
        <v>8.0</v>
      </c>
      <c r="M197" s="137">
        <v>8.0</v>
      </c>
    </row>
    <row r="198">
      <c r="A198" s="137">
        <v>6211.0</v>
      </c>
      <c r="B198" s="136" t="s">
        <v>1126</v>
      </c>
      <c r="C198" s="136" t="s">
        <v>1203</v>
      </c>
      <c r="D198" s="136" t="s">
        <v>1252</v>
      </c>
      <c r="E198" s="136" t="s">
        <v>1168</v>
      </c>
      <c r="F198" s="137">
        <v>3.0</v>
      </c>
      <c r="G198" s="137">
        <v>3.0</v>
      </c>
      <c r="H198" s="137">
        <v>0.0</v>
      </c>
      <c r="I198" s="137">
        <v>3.0</v>
      </c>
      <c r="J198" s="137">
        <v>3.0</v>
      </c>
      <c r="K198" s="137">
        <v>0.0</v>
      </c>
      <c r="L198" s="137">
        <v>8.0</v>
      </c>
      <c r="M198" s="137">
        <v>8.0</v>
      </c>
    </row>
    <row r="199">
      <c r="A199" s="137">
        <v>6957.0</v>
      </c>
      <c r="B199" s="136" t="s">
        <v>1126</v>
      </c>
      <c r="C199" s="136" t="s">
        <v>1204</v>
      </c>
      <c r="D199" s="136" t="s">
        <v>1253</v>
      </c>
      <c r="E199" s="136" t="s">
        <v>1173</v>
      </c>
      <c r="F199" s="137">
        <v>3.0</v>
      </c>
      <c r="G199" s="137">
        <v>4.0</v>
      </c>
      <c r="H199" s="137">
        <v>-1.0</v>
      </c>
      <c r="I199" s="137">
        <v>3.0</v>
      </c>
      <c r="J199" s="137">
        <v>4.0</v>
      </c>
      <c r="K199" s="137">
        <v>-1.0</v>
      </c>
      <c r="L199" s="137">
        <v>10.0</v>
      </c>
      <c r="M199" s="137">
        <v>10.0</v>
      </c>
    </row>
    <row r="200">
      <c r="A200" s="137">
        <v>7211.0</v>
      </c>
      <c r="B200" s="136" t="s">
        <v>1126</v>
      </c>
      <c r="C200" s="136" t="s">
        <v>1207</v>
      </c>
      <c r="D200" s="136" t="s">
        <v>1254</v>
      </c>
      <c r="E200" s="136" t="s">
        <v>1152</v>
      </c>
      <c r="F200" s="137">
        <v>3.0</v>
      </c>
      <c r="G200" s="137">
        <v>6.0</v>
      </c>
      <c r="H200" s="137">
        <v>-3.0</v>
      </c>
      <c r="I200" s="137">
        <v>3.0</v>
      </c>
      <c r="J200" s="137">
        <v>6.0</v>
      </c>
      <c r="K200" s="137">
        <v>-3.0</v>
      </c>
      <c r="L200" s="137">
        <v>8.0</v>
      </c>
      <c r="M200" s="137">
        <v>8.0</v>
      </c>
    </row>
    <row r="201">
      <c r="A201" s="137">
        <v>5427.0</v>
      </c>
      <c r="B201" s="136" t="s">
        <v>1126</v>
      </c>
      <c r="C201" s="136" t="s">
        <v>1203</v>
      </c>
      <c r="D201" s="136" t="s">
        <v>1084</v>
      </c>
      <c r="E201" s="136" t="s">
        <v>1155</v>
      </c>
      <c r="F201" s="137">
        <v>3.0</v>
      </c>
      <c r="G201" s="137">
        <v>8.0</v>
      </c>
      <c r="H201" s="137">
        <v>-5.0</v>
      </c>
      <c r="I201" s="137">
        <v>3.0</v>
      </c>
      <c r="J201" s="137">
        <v>8.0</v>
      </c>
      <c r="K201" s="137">
        <v>-5.0</v>
      </c>
      <c r="L201" s="137">
        <v>10.0</v>
      </c>
      <c r="M201" s="137">
        <v>10.0</v>
      </c>
    </row>
    <row r="202">
      <c r="A202" s="137">
        <v>7240.0</v>
      </c>
      <c r="B202" s="136" t="s">
        <v>1126</v>
      </c>
      <c r="C202" s="136" t="s">
        <v>1204</v>
      </c>
      <c r="D202" s="136" t="s">
        <v>1255</v>
      </c>
      <c r="E202" s="136" t="s">
        <v>1159</v>
      </c>
      <c r="F202" s="137">
        <v>3.0</v>
      </c>
      <c r="G202" s="137">
        <v>5.0</v>
      </c>
      <c r="H202" s="137">
        <v>-2.0</v>
      </c>
      <c r="I202" s="137">
        <v>3.0</v>
      </c>
      <c r="J202" s="137">
        <v>5.0</v>
      </c>
      <c r="K202" s="137">
        <v>-2.0</v>
      </c>
      <c r="L202" s="137">
        <v>6.0</v>
      </c>
      <c r="M202" s="137">
        <v>6.0</v>
      </c>
    </row>
    <row r="203">
      <c r="A203" s="137">
        <v>7268.0</v>
      </c>
      <c r="B203" s="136" t="s">
        <v>1126</v>
      </c>
      <c r="C203" s="136" t="s">
        <v>1213</v>
      </c>
      <c r="D203" s="136" t="s">
        <v>1256</v>
      </c>
      <c r="E203" s="136" t="s">
        <v>1162</v>
      </c>
      <c r="F203" s="137">
        <v>3.0</v>
      </c>
      <c r="G203" s="137">
        <v>1.0</v>
      </c>
      <c r="H203" s="137">
        <v>2.0</v>
      </c>
      <c r="I203" s="137">
        <v>3.0</v>
      </c>
      <c r="J203" s="137">
        <v>1.0</v>
      </c>
      <c r="K203" s="137">
        <v>2.0</v>
      </c>
      <c r="L203" s="137">
        <v>12.0</v>
      </c>
      <c r="M203" s="137">
        <v>12.0</v>
      </c>
    </row>
    <row r="204">
      <c r="A204" s="137">
        <v>388.0</v>
      </c>
      <c r="B204" s="136" t="s">
        <v>1126</v>
      </c>
      <c r="C204" s="136" t="s">
        <v>1204</v>
      </c>
      <c r="D204" s="136" t="s">
        <v>1257</v>
      </c>
      <c r="E204" s="136" t="s">
        <v>1172</v>
      </c>
      <c r="F204" s="137">
        <v>3.0</v>
      </c>
      <c r="G204" s="137">
        <v>5.0</v>
      </c>
      <c r="H204" s="137">
        <v>-2.0</v>
      </c>
      <c r="I204" s="137">
        <v>3.0</v>
      </c>
      <c r="J204" s="137">
        <v>5.0</v>
      </c>
      <c r="K204" s="137">
        <v>-2.0</v>
      </c>
      <c r="L204" s="137">
        <v>9.0</v>
      </c>
      <c r="M204" s="137">
        <v>9.0</v>
      </c>
    </row>
    <row r="205">
      <c r="A205" s="137">
        <v>7326.0</v>
      </c>
      <c r="B205" s="136" t="s">
        <v>1126</v>
      </c>
      <c r="C205" s="136" t="s">
        <v>1211</v>
      </c>
      <c r="D205" s="136" t="s">
        <v>1258</v>
      </c>
      <c r="E205" s="136" t="s">
        <v>1169</v>
      </c>
      <c r="F205" s="137">
        <v>3.0</v>
      </c>
      <c r="G205" s="137">
        <v>4.0</v>
      </c>
      <c r="H205" s="137">
        <v>-1.0</v>
      </c>
      <c r="I205" s="137">
        <v>3.0</v>
      </c>
      <c r="J205" s="137">
        <v>4.0</v>
      </c>
      <c r="K205" s="137">
        <v>-1.0</v>
      </c>
      <c r="L205" s="137">
        <v>9.0</v>
      </c>
      <c r="M205" s="137">
        <v>9.0</v>
      </c>
    </row>
    <row r="206">
      <c r="A206" s="137">
        <v>6550.0</v>
      </c>
      <c r="B206" s="136" t="s">
        <v>1126</v>
      </c>
      <c r="C206" s="136" t="s">
        <v>1209</v>
      </c>
      <c r="D206" s="136" t="s">
        <v>1259</v>
      </c>
      <c r="E206" s="136" t="s">
        <v>1164</v>
      </c>
      <c r="F206" s="137">
        <v>3.0</v>
      </c>
      <c r="G206" s="137">
        <v>3.0</v>
      </c>
      <c r="H206" s="137">
        <v>0.0</v>
      </c>
      <c r="I206" s="137">
        <v>4.0</v>
      </c>
      <c r="J206" s="137">
        <v>4.0</v>
      </c>
      <c r="K206" s="137">
        <v>0.0</v>
      </c>
      <c r="L206" s="137">
        <v>8.0</v>
      </c>
      <c r="M206" s="137">
        <v>10.0</v>
      </c>
    </row>
    <row r="207">
      <c r="A207" s="137">
        <v>7356.0</v>
      </c>
      <c r="B207" s="136" t="s">
        <v>1126</v>
      </c>
      <c r="C207" s="136" t="s">
        <v>1204</v>
      </c>
      <c r="D207" s="136" t="s">
        <v>1260</v>
      </c>
      <c r="E207" s="136" t="s">
        <v>1168</v>
      </c>
      <c r="F207" s="137">
        <v>3.0</v>
      </c>
      <c r="G207" s="137">
        <v>3.0</v>
      </c>
      <c r="H207" s="137">
        <v>0.0</v>
      </c>
      <c r="I207" s="137">
        <v>3.0</v>
      </c>
      <c r="J207" s="137">
        <v>3.0</v>
      </c>
      <c r="K207" s="137">
        <v>0.0</v>
      </c>
      <c r="L207" s="137">
        <v>8.0</v>
      </c>
      <c r="M207" s="137">
        <v>8.0</v>
      </c>
    </row>
    <row r="208">
      <c r="A208" s="137">
        <v>5498.0</v>
      </c>
      <c r="B208" s="136" t="s">
        <v>1126</v>
      </c>
      <c r="C208" s="136" t="s">
        <v>1204</v>
      </c>
      <c r="D208" s="136" t="s">
        <v>726</v>
      </c>
      <c r="E208" s="136" t="s">
        <v>1169</v>
      </c>
      <c r="F208" s="137">
        <v>2.0</v>
      </c>
      <c r="G208" s="137">
        <v>4.0</v>
      </c>
      <c r="H208" s="137">
        <v>-2.0</v>
      </c>
      <c r="I208" s="137">
        <v>2.0</v>
      </c>
      <c r="J208" s="137">
        <v>4.0</v>
      </c>
      <c r="K208" s="137">
        <v>-2.0</v>
      </c>
      <c r="L208" s="137">
        <v>7.0</v>
      </c>
      <c r="M208" s="137">
        <v>7.0</v>
      </c>
    </row>
    <row r="209">
      <c r="A209" s="137">
        <v>487.0</v>
      </c>
      <c r="B209" s="136" t="s">
        <v>1126</v>
      </c>
      <c r="C209" s="136" t="s">
        <v>1207</v>
      </c>
      <c r="D209" s="136" t="s">
        <v>573</v>
      </c>
      <c r="E209" s="136" t="s">
        <v>1169</v>
      </c>
      <c r="F209" s="137">
        <v>2.0</v>
      </c>
      <c r="G209" s="137">
        <v>4.0</v>
      </c>
      <c r="H209" s="137">
        <v>-2.0</v>
      </c>
      <c r="I209" s="137">
        <v>2.0</v>
      </c>
      <c r="J209" s="137">
        <v>4.0</v>
      </c>
      <c r="K209" s="137">
        <v>-2.0</v>
      </c>
      <c r="L209" s="137">
        <v>8.0</v>
      </c>
      <c r="M209" s="137">
        <v>8.0</v>
      </c>
    </row>
    <row r="210">
      <c r="A210" s="137">
        <v>2653.0</v>
      </c>
      <c r="B210" s="136" t="s">
        <v>1126</v>
      </c>
      <c r="C210" s="136" t="s">
        <v>1203</v>
      </c>
      <c r="D210" s="136" t="s">
        <v>710</v>
      </c>
      <c r="E210" s="136" t="s">
        <v>1169</v>
      </c>
      <c r="F210" s="137">
        <v>2.0</v>
      </c>
      <c r="G210" s="137">
        <v>5.0</v>
      </c>
      <c r="H210" s="137">
        <v>-3.0</v>
      </c>
      <c r="I210" s="137">
        <v>2.0</v>
      </c>
      <c r="J210" s="137">
        <v>5.0</v>
      </c>
      <c r="K210" s="137">
        <v>-3.0</v>
      </c>
      <c r="L210" s="137">
        <v>10.0</v>
      </c>
      <c r="M210" s="137">
        <v>10.0</v>
      </c>
    </row>
    <row r="211">
      <c r="A211" s="137">
        <v>6896.0</v>
      </c>
      <c r="B211" s="136" t="s">
        <v>1126</v>
      </c>
      <c r="C211" s="136" t="s">
        <v>1207</v>
      </c>
      <c r="D211" s="136" t="s">
        <v>1261</v>
      </c>
      <c r="E211" s="136" t="s">
        <v>1156</v>
      </c>
      <c r="F211" s="137">
        <v>2.0</v>
      </c>
      <c r="G211" s="137">
        <v>4.0</v>
      </c>
      <c r="H211" s="137">
        <v>-2.0</v>
      </c>
      <c r="I211" s="137">
        <v>2.0</v>
      </c>
      <c r="J211" s="137">
        <v>4.0</v>
      </c>
      <c r="K211" s="137">
        <v>-2.0</v>
      </c>
      <c r="L211" s="137">
        <v>8.0</v>
      </c>
      <c r="M211" s="137">
        <v>8.0</v>
      </c>
    </row>
    <row r="212">
      <c r="A212" s="137">
        <v>1891.0</v>
      </c>
      <c r="B212" s="136" t="s">
        <v>1126</v>
      </c>
      <c r="C212" s="136" t="s">
        <v>1211</v>
      </c>
      <c r="D212" s="136" t="s">
        <v>1262</v>
      </c>
      <c r="E212" s="136" t="s">
        <v>1160</v>
      </c>
      <c r="F212" s="137">
        <v>2.0</v>
      </c>
      <c r="G212" s="137">
        <v>4.0</v>
      </c>
      <c r="H212" s="137">
        <v>-2.0</v>
      </c>
      <c r="I212" s="137">
        <v>2.0</v>
      </c>
      <c r="J212" s="137">
        <v>4.0</v>
      </c>
      <c r="K212" s="137">
        <v>-2.0</v>
      </c>
      <c r="L212" s="137">
        <v>8.0</v>
      </c>
      <c r="M212" s="137">
        <v>10.0</v>
      </c>
    </row>
    <row r="213">
      <c r="A213" s="137">
        <v>6977.0</v>
      </c>
      <c r="B213" s="136" t="s">
        <v>1126</v>
      </c>
      <c r="C213" s="136" t="s">
        <v>1204</v>
      </c>
      <c r="D213" s="136" t="s">
        <v>1263</v>
      </c>
      <c r="E213" s="136" t="s">
        <v>1170</v>
      </c>
      <c r="F213" s="137">
        <v>2.0</v>
      </c>
      <c r="G213" s="137">
        <v>2.0</v>
      </c>
      <c r="H213" s="137">
        <v>0.0</v>
      </c>
      <c r="I213" s="137">
        <v>2.0</v>
      </c>
      <c r="J213" s="137">
        <v>2.0</v>
      </c>
      <c r="K213" s="137">
        <v>0.0</v>
      </c>
      <c r="L213" s="137">
        <v>9.0</v>
      </c>
      <c r="M213" s="137">
        <v>9.0</v>
      </c>
    </row>
    <row r="214">
      <c r="A214" s="137">
        <v>791.0</v>
      </c>
      <c r="B214" s="136" t="s">
        <v>1126</v>
      </c>
      <c r="C214" s="136" t="s">
        <v>1214</v>
      </c>
      <c r="D214" s="136" t="s">
        <v>822</v>
      </c>
      <c r="E214" s="136" t="s">
        <v>1170</v>
      </c>
      <c r="F214" s="137">
        <v>2.0</v>
      </c>
      <c r="G214" s="137">
        <v>5.0</v>
      </c>
      <c r="H214" s="137">
        <v>-3.0</v>
      </c>
      <c r="I214" s="137">
        <v>2.0</v>
      </c>
      <c r="J214" s="137">
        <v>5.0</v>
      </c>
      <c r="K214" s="137">
        <v>-3.0</v>
      </c>
      <c r="L214" s="137">
        <v>10.0</v>
      </c>
      <c r="M214" s="137">
        <v>12.0</v>
      </c>
    </row>
    <row r="215">
      <c r="A215" s="137">
        <v>294.0</v>
      </c>
      <c r="B215" s="136" t="s">
        <v>1126</v>
      </c>
      <c r="C215" s="136" t="s">
        <v>1204</v>
      </c>
      <c r="D215" s="136" t="s">
        <v>1264</v>
      </c>
      <c r="E215" s="136" t="s">
        <v>1165</v>
      </c>
      <c r="F215" s="137">
        <v>2.0</v>
      </c>
      <c r="G215" s="137">
        <v>3.0</v>
      </c>
      <c r="H215" s="137">
        <v>-1.0</v>
      </c>
      <c r="I215" s="137">
        <v>2.0</v>
      </c>
      <c r="J215" s="137">
        <v>3.0</v>
      </c>
      <c r="K215" s="137">
        <v>-1.0</v>
      </c>
      <c r="L215" s="137">
        <v>8.0</v>
      </c>
      <c r="M215" s="137">
        <v>8.0</v>
      </c>
    </row>
    <row r="216">
      <c r="A216" s="137">
        <v>7175.0</v>
      </c>
      <c r="B216" s="136" t="s">
        <v>1126</v>
      </c>
      <c r="C216" s="136" t="s">
        <v>1202</v>
      </c>
      <c r="D216" s="136" t="s">
        <v>1080</v>
      </c>
      <c r="E216" s="136" t="s">
        <v>1169</v>
      </c>
      <c r="F216" s="137">
        <v>2.0</v>
      </c>
      <c r="G216" s="137">
        <v>8.0</v>
      </c>
      <c r="H216" s="137">
        <v>-6.0</v>
      </c>
      <c r="I216" s="137">
        <v>2.0</v>
      </c>
      <c r="J216" s="137">
        <v>7.0</v>
      </c>
      <c r="K216" s="137">
        <v>-5.0</v>
      </c>
      <c r="L216" s="137">
        <v>5.0</v>
      </c>
      <c r="M216" s="137">
        <v>5.0</v>
      </c>
    </row>
    <row r="217">
      <c r="A217" s="137">
        <v>6809.0</v>
      </c>
      <c r="B217" s="136" t="s">
        <v>1126</v>
      </c>
      <c r="C217" s="136" t="s">
        <v>1204</v>
      </c>
      <c r="D217" s="136" t="s">
        <v>1265</v>
      </c>
      <c r="E217" s="136" t="s">
        <v>1175</v>
      </c>
      <c r="F217" s="137">
        <v>2.0</v>
      </c>
      <c r="G217" s="137">
        <v>3.0</v>
      </c>
      <c r="H217" s="137">
        <v>-1.0</v>
      </c>
      <c r="I217" s="137">
        <v>2.0</v>
      </c>
      <c r="J217" s="137">
        <v>3.0</v>
      </c>
      <c r="K217" s="137">
        <v>-1.0</v>
      </c>
      <c r="L217" s="137">
        <v>8.0</v>
      </c>
      <c r="M217" s="137">
        <v>8.0</v>
      </c>
    </row>
    <row r="218">
      <c r="A218" s="137">
        <v>5481.0</v>
      </c>
      <c r="B218" s="136" t="s">
        <v>1126</v>
      </c>
      <c r="C218" s="136" t="s">
        <v>1214</v>
      </c>
      <c r="D218" s="136" t="s">
        <v>692</v>
      </c>
      <c r="E218" s="136" t="s">
        <v>1155</v>
      </c>
      <c r="F218" s="137">
        <v>2.0</v>
      </c>
      <c r="G218" s="137">
        <v>3.0</v>
      </c>
      <c r="H218" s="137">
        <v>-1.0</v>
      </c>
      <c r="I218" s="137">
        <v>2.0</v>
      </c>
      <c r="J218" s="137">
        <v>3.0</v>
      </c>
      <c r="K218" s="137">
        <v>-1.0</v>
      </c>
      <c r="L218" s="137">
        <v>3.0</v>
      </c>
      <c r="M218" s="137">
        <v>5.0</v>
      </c>
    </row>
    <row r="219">
      <c r="A219" s="137">
        <v>7140.0</v>
      </c>
      <c r="B219" s="136" t="s">
        <v>1126</v>
      </c>
      <c r="C219" s="136" t="s">
        <v>1204</v>
      </c>
      <c r="D219" s="136" t="s">
        <v>1266</v>
      </c>
      <c r="E219" s="136" t="s">
        <v>1172</v>
      </c>
      <c r="F219" s="137">
        <v>2.0</v>
      </c>
      <c r="G219" s="137">
        <v>1.0</v>
      </c>
      <c r="H219" s="137">
        <v>1.0</v>
      </c>
      <c r="I219" s="137">
        <v>2.0</v>
      </c>
      <c r="J219" s="137">
        <v>1.0</v>
      </c>
      <c r="K219" s="137">
        <v>1.0</v>
      </c>
      <c r="L219" s="137">
        <v>4.0</v>
      </c>
      <c r="M219" s="137">
        <v>4.0</v>
      </c>
    </row>
    <row r="220">
      <c r="A220" s="137">
        <v>252.0</v>
      </c>
      <c r="B220" s="136" t="s">
        <v>1126</v>
      </c>
      <c r="C220" s="136" t="s">
        <v>1203</v>
      </c>
      <c r="D220" s="136" t="s">
        <v>565</v>
      </c>
      <c r="E220" s="136" t="s">
        <v>1175</v>
      </c>
      <c r="F220" s="137">
        <v>2.0</v>
      </c>
      <c r="G220" s="137">
        <v>8.0</v>
      </c>
      <c r="H220" s="137">
        <v>-6.0</v>
      </c>
      <c r="I220" s="137">
        <v>2.0</v>
      </c>
      <c r="J220" s="137">
        <v>8.0</v>
      </c>
      <c r="K220" s="137">
        <v>-6.0</v>
      </c>
      <c r="L220" s="137">
        <v>5.0</v>
      </c>
      <c r="M220" s="137">
        <v>5.0</v>
      </c>
    </row>
    <row r="221">
      <c r="A221" s="137">
        <v>5994.0</v>
      </c>
      <c r="B221" s="136" t="s">
        <v>1126</v>
      </c>
      <c r="C221" s="136" t="s">
        <v>1213</v>
      </c>
      <c r="D221" s="136" t="s">
        <v>1267</v>
      </c>
      <c r="E221" s="136" t="s">
        <v>1175</v>
      </c>
      <c r="F221" s="137">
        <v>2.0</v>
      </c>
      <c r="G221" s="137">
        <v>4.0</v>
      </c>
      <c r="H221" s="137">
        <v>-2.0</v>
      </c>
      <c r="I221" s="137">
        <v>2.0</v>
      </c>
      <c r="J221" s="137">
        <v>5.0</v>
      </c>
      <c r="K221" s="137">
        <v>-3.0</v>
      </c>
      <c r="L221" s="137">
        <v>7.0</v>
      </c>
      <c r="M221" s="137">
        <v>9.0</v>
      </c>
    </row>
    <row r="222">
      <c r="A222" s="137">
        <v>6985.0</v>
      </c>
      <c r="B222" s="136" t="s">
        <v>1126</v>
      </c>
      <c r="C222" s="136" t="s">
        <v>1213</v>
      </c>
      <c r="D222" s="136" t="s">
        <v>1268</v>
      </c>
      <c r="E222" s="136" t="s">
        <v>1164</v>
      </c>
      <c r="F222" s="137">
        <v>2.0</v>
      </c>
      <c r="G222" s="137">
        <v>6.0</v>
      </c>
      <c r="H222" s="137">
        <v>-4.0</v>
      </c>
      <c r="I222" s="137">
        <v>2.0</v>
      </c>
      <c r="J222" s="137">
        <v>6.0</v>
      </c>
      <c r="K222" s="137">
        <v>-4.0</v>
      </c>
      <c r="L222" s="137">
        <v>5.0</v>
      </c>
      <c r="M222" s="137">
        <v>7.0</v>
      </c>
    </row>
    <row r="223">
      <c r="A223" s="137">
        <v>7222.0</v>
      </c>
      <c r="B223" s="136" t="s">
        <v>1126</v>
      </c>
      <c r="C223" s="136" t="s">
        <v>1214</v>
      </c>
      <c r="D223" s="136" t="s">
        <v>1269</v>
      </c>
      <c r="E223" s="136" t="s">
        <v>1173</v>
      </c>
      <c r="F223" s="137">
        <v>2.0</v>
      </c>
      <c r="G223" s="137">
        <v>1.0</v>
      </c>
      <c r="H223" s="137">
        <v>1.0</v>
      </c>
      <c r="I223" s="137">
        <v>2.0</v>
      </c>
      <c r="J223" s="137">
        <v>1.0</v>
      </c>
      <c r="K223" s="137">
        <v>1.0</v>
      </c>
      <c r="L223" s="137">
        <v>6.0</v>
      </c>
      <c r="M223" s="137">
        <v>6.0</v>
      </c>
    </row>
    <row r="224">
      <c r="A224" s="137">
        <v>7235.0</v>
      </c>
      <c r="B224" s="136" t="s">
        <v>1126</v>
      </c>
      <c r="C224" s="136" t="s">
        <v>1204</v>
      </c>
      <c r="D224" s="136" t="s">
        <v>1270</v>
      </c>
      <c r="E224" s="136" t="s">
        <v>1167</v>
      </c>
      <c r="F224" s="137">
        <v>2.0</v>
      </c>
      <c r="G224" s="137">
        <v>6.0</v>
      </c>
      <c r="H224" s="137">
        <v>-4.0</v>
      </c>
      <c r="I224" s="137">
        <v>2.0</v>
      </c>
      <c r="J224" s="137">
        <v>6.0</v>
      </c>
      <c r="K224" s="137">
        <v>-4.0</v>
      </c>
      <c r="L224" s="137">
        <v>8.0</v>
      </c>
      <c r="M224" s="137">
        <v>8.0</v>
      </c>
    </row>
    <row r="225">
      <c r="A225" s="137">
        <v>5156.0</v>
      </c>
      <c r="B225" s="136" t="s">
        <v>1126</v>
      </c>
      <c r="C225" s="136" t="s">
        <v>1203</v>
      </c>
      <c r="D225" s="136" t="s">
        <v>1271</v>
      </c>
      <c r="E225" s="136" t="s">
        <v>1175</v>
      </c>
      <c r="F225" s="137">
        <v>2.0</v>
      </c>
      <c r="G225" s="137">
        <v>3.0</v>
      </c>
      <c r="H225" s="137">
        <v>-1.0</v>
      </c>
      <c r="I225" s="137">
        <v>2.0</v>
      </c>
      <c r="J225" s="137">
        <v>3.0</v>
      </c>
      <c r="K225" s="137">
        <v>-1.0</v>
      </c>
      <c r="L225" s="137">
        <v>8.0</v>
      </c>
      <c r="M225" s="137">
        <v>8.0</v>
      </c>
    </row>
    <row r="226">
      <c r="A226" s="137">
        <v>6870.0</v>
      </c>
      <c r="B226" s="136" t="s">
        <v>1126</v>
      </c>
      <c r="C226" s="136" t="s">
        <v>1204</v>
      </c>
      <c r="D226" s="136" t="s">
        <v>1272</v>
      </c>
      <c r="E226" s="136" t="s">
        <v>1160</v>
      </c>
      <c r="F226" s="137">
        <v>2.0</v>
      </c>
      <c r="G226" s="137">
        <v>4.0</v>
      </c>
      <c r="H226" s="137">
        <v>-2.0</v>
      </c>
      <c r="I226" s="137">
        <v>2.0</v>
      </c>
      <c r="J226" s="137">
        <v>4.0</v>
      </c>
      <c r="K226" s="137">
        <v>-2.0</v>
      </c>
      <c r="L226" s="137">
        <v>5.0</v>
      </c>
      <c r="M226" s="137">
        <v>5.0</v>
      </c>
    </row>
    <row r="227">
      <c r="A227" s="137">
        <v>7274.0</v>
      </c>
      <c r="B227" s="136" t="s">
        <v>1126</v>
      </c>
      <c r="C227" s="136" t="s">
        <v>1204</v>
      </c>
      <c r="D227" s="136" t="s">
        <v>1273</v>
      </c>
      <c r="E227" s="136" t="s">
        <v>1162</v>
      </c>
      <c r="F227" s="137">
        <v>2.0</v>
      </c>
      <c r="G227" s="137">
        <v>4.0</v>
      </c>
      <c r="H227" s="137">
        <v>-2.0</v>
      </c>
      <c r="I227" s="137">
        <v>2.0</v>
      </c>
      <c r="J227" s="137">
        <v>4.0</v>
      </c>
      <c r="K227" s="137">
        <v>-2.0</v>
      </c>
      <c r="L227" s="137">
        <v>10.0</v>
      </c>
      <c r="M227" s="137">
        <v>10.0</v>
      </c>
    </row>
    <row r="228">
      <c r="A228" s="137">
        <v>7325.0</v>
      </c>
      <c r="B228" s="136" t="s">
        <v>1126</v>
      </c>
      <c r="C228" s="136" t="s">
        <v>1204</v>
      </c>
      <c r="D228" s="136" t="s">
        <v>1274</v>
      </c>
      <c r="E228" s="136" t="s">
        <v>1172</v>
      </c>
      <c r="F228" s="137">
        <v>2.0</v>
      </c>
      <c r="G228" s="137">
        <v>2.0</v>
      </c>
      <c r="H228" s="137">
        <v>0.0</v>
      </c>
      <c r="I228" s="137">
        <v>2.0</v>
      </c>
      <c r="J228" s="137">
        <v>2.0</v>
      </c>
      <c r="K228" s="137">
        <v>0.0</v>
      </c>
      <c r="L228" s="137">
        <v>5.0</v>
      </c>
      <c r="M228" s="137">
        <v>5.0</v>
      </c>
    </row>
    <row r="229">
      <c r="A229" s="137">
        <v>6149.0</v>
      </c>
      <c r="B229" s="136" t="s">
        <v>1126</v>
      </c>
      <c r="C229" s="136" t="s">
        <v>1203</v>
      </c>
      <c r="D229" s="136" t="s">
        <v>1275</v>
      </c>
      <c r="E229" s="136" t="s">
        <v>1167</v>
      </c>
      <c r="F229" s="137">
        <v>2.0</v>
      </c>
      <c r="G229" s="137">
        <v>2.0</v>
      </c>
      <c r="H229" s="137">
        <v>0.0</v>
      </c>
      <c r="I229" s="137">
        <v>2.0</v>
      </c>
      <c r="J229" s="137">
        <v>2.0</v>
      </c>
      <c r="K229" s="137">
        <v>0.0</v>
      </c>
      <c r="L229" s="137">
        <v>4.0</v>
      </c>
      <c r="M229" s="137">
        <v>4.0</v>
      </c>
    </row>
    <row r="230">
      <c r="A230" s="137">
        <v>7352.0</v>
      </c>
      <c r="B230" s="136" t="s">
        <v>1126</v>
      </c>
      <c r="C230" s="136" t="s">
        <v>1204</v>
      </c>
      <c r="D230" s="136" t="s">
        <v>1276</v>
      </c>
      <c r="E230" s="136" t="s">
        <v>1173</v>
      </c>
      <c r="F230" s="137">
        <v>2.0</v>
      </c>
      <c r="G230" s="137">
        <v>2.0</v>
      </c>
      <c r="H230" s="137">
        <v>0.0</v>
      </c>
      <c r="I230" s="137">
        <v>2.0</v>
      </c>
      <c r="J230" s="137">
        <v>2.0</v>
      </c>
      <c r="K230" s="137">
        <v>0.0</v>
      </c>
      <c r="L230" s="137">
        <v>5.0</v>
      </c>
      <c r="M230" s="137">
        <v>5.0</v>
      </c>
    </row>
    <row r="231">
      <c r="A231" s="137">
        <v>6230.0</v>
      </c>
      <c r="B231" s="136" t="s">
        <v>1126</v>
      </c>
      <c r="C231" s="136" t="s">
        <v>1204</v>
      </c>
      <c r="D231" s="136" t="s">
        <v>926</v>
      </c>
      <c r="E231" s="136" t="s">
        <v>1162</v>
      </c>
      <c r="F231" s="137">
        <v>1.0</v>
      </c>
      <c r="G231" s="137">
        <v>4.0</v>
      </c>
      <c r="H231" s="137">
        <v>-3.0</v>
      </c>
      <c r="I231" s="137">
        <v>1.0</v>
      </c>
      <c r="J231" s="137">
        <v>4.0</v>
      </c>
      <c r="K231" s="137">
        <v>-3.0</v>
      </c>
      <c r="L231" s="137">
        <v>5.0</v>
      </c>
      <c r="M231" s="137">
        <v>5.0</v>
      </c>
    </row>
    <row r="232">
      <c r="A232" s="137">
        <v>418.0</v>
      </c>
      <c r="B232" s="136" t="s">
        <v>1126</v>
      </c>
      <c r="C232" s="136" t="s">
        <v>1204</v>
      </c>
      <c r="D232" s="136" t="s">
        <v>1277</v>
      </c>
      <c r="E232" s="136" t="s">
        <v>1156</v>
      </c>
      <c r="F232" s="137">
        <v>1.0</v>
      </c>
      <c r="G232" s="137">
        <v>4.0</v>
      </c>
      <c r="H232" s="137">
        <v>-3.0</v>
      </c>
      <c r="I232" s="137">
        <v>1.0</v>
      </c>
      <c r="J232" s="137">
        <v>4.0</v>
      </c>
      <c r="K232" s="137">
        <v>-3.0</v>
      </c>
      <c r="L232" s="137">
        <v>6.0</v>
      </c>
      <c r="M232" s="137">
        <v>6.0</v>
      </c>
    </row>
    <row r="233">
      <c r="A233" s="137">
        <v>2525.0</v>
      </c>
      <c r="B233" s="136" t="s">
        <v>1126</v>
      </c>
      <c r="C233" s="136" t="s">
        <v>1206</v>
      </c>
      <c r="D233" s="136" t="s">
        <v>707</v>
      </c>
      <c r="E233" s="136" t="s">
        <v>1161</v>
      </c>
      <c r="F233" s="137">
        <v>1.0</v>
      </c>
      <c r="G233" s="137">
        <v>4.0</v>
      </c>
      <c r="H233" s="137">
        <v>-3.0</v>
      </c>
      <c r="I233" s="137">
        <v>1.0</v>
      </c>
      <c r="J233" s="137">
        <v>5.0</v>
      </c>
      <c r="K233" s="137">
        <v>-4.0</v>
      </c>
      <c r="L233" s="137">
        <v>7.0</v>
      </c>
      <c r="M233" s="137">
        <v>8.0</v>
      </c>
    </row>
    <row r="234">
      <c r="A234" s="137">
        <v>5899.0</v>
      </c>
      <c r="B234" s="136" t="s">
        <v>1126</v>
      </c>
      <c r="C234" s="136" t="s">
        <v>1204</v>
      </c>
      <c r="D234" s="136" t="s">
        <v>1278</v>
      </c>
      <c r="E234" s="136" t="s">
        <v>1157</v>
      </c>
      <c r="F234" s="137">
        <v>1.0</v>
      </c>
      <c r="G234" s="137">
        <v>4.0</v>
      </c>
      <c r="H234" s="137">
        <v>-3.0</v>
      </c>
      <c r="I234" s="137">
        <v>1.0</v>
      </c>
      <c r="J234" s="137">
        <v>4.0</v>
      </c>
      <c r="K234" s="137">
        <v>-3.0</v>
      </c>
      <c r="L234" s="137">
        <v>3.0</v>
      </c>
      <c r="M234" s="137">
        <v>3.0</v>
      </c>
    </row>
    <row r="235">
      <c r="A235" s="137">
        <v>327.0</v>
      </c>
      <c r="B235" s="136" t="s">
        <v>1126</v>
      </c>
      <c r="C235" s="136" t="s">
        <v>1211</v>
      </c>
      <c r="D235" s="136" t="s">
        <v>590</v>
      </c>
      <c r="E235" s="136" t="s">
        <v>1157</v>
      </c>
      <c r="F235" s="137">
        <v>1.0</v>
      </c>
      <c r="G235" s="137">
        <v>4.0</v>
      </c>
      <c r="H235" s="137">
        <v>-3.0</v>
      </c>
      <c r="I235" s="137">
        <v>1.0</v>
      </c>
      <c r="J235" s="137">
        <v>4.0</v>
      </c>
      <c r="K235" s="137">
        <v>-3.0</v>
      </c>
      <c r="L235" s="137">
        <v>5.0</v>
      </c>
      <c r="M235" s="137">
        <v>6.0</v>
      </c>
    </row>
    <row r="236">
      <c r="A236" s="137">
        <v>140.0</v>
      </c>
      <c r="B236" s="136" t="s">
        <v>1126</v>
      </c>
      <c r="C236" s="136" t="s">
        <v>1214</v>
      </c>
      <c r="D236" s="136" t="s">
        <v>1279</v>
      </c>
      <c r="E236" s="136" t="s">
        <v>1157</v>
      </c>
      <c r="F236" s="137">
        <v>1.0</v>
      </c>
      <c r="G236" s="137">
        <v>3.0</v>
      </c>
      <c r="H236" s="137">
        <v>-2.0</v>
      </c>
      <c r="I236" s="137">
        <v>1.0</v>
      </c>
      <c r="J236" s="137">
        <v>3.0</v>
      </c>
      <c r="K236" s="137">
        <v>-2.0</v>
      </c>
      <c r="L236" s="137">
        <v>4.0</v>
      </c>
      <c r="M236" s="137">
        <v>4.0</v>
      </c>
    </row>
    <row r="237">
      <c r="A237" s="137">
        <v>6883.0</v>
      </c>
      <c r="B237" s="136" t="s">
        <v>1126</v>
      </c>
      <c r="C237" s="136" t="s">
        <v>1204</v>
      </c>
      <c r="D237" s="136" t="s">
        <v>1280</v>
      </c>
      <c r="E237" s="136" t="s">
        <v>1159</v>
      </c>
      <c r="F237" s="137">
        <v>1.0</v>
      </c>
      <c r="G237" s="137">
        <v>3.0</v>
      </c>
      <c r="H237" s="137">
        <v>-2.0</v>
      </c>
      <c r="I237" s="137">
        <v>1.0</v>
      </c>
      <c r="J237" s="137">
        <v>3.0</v>
      </c>
      <c r="K237" s="137">
        <v>-2.0</v>
      </c>
      <c r="L237" s="137">
        <v>3.0</v>
      </c>
      <c r="M237" s="137">
        <v>3.0</v>
      </c>
    </row>
    <row r="238">
      <c r="A238" s="137">
        <v>7164.0</v>
      </c>
      <c r="B238" s="136" t="s">
        <v>1126</v>
      </c>
      <c r="C238" s="136" t="s">
        <v>1211</v>
      </c>
      <c r="D238" s="136" t="s">
        <v>1281</v>
      </c>
      <c r="E238" s="136" t="s">
        <v>1159</v>
      </c>
      <c r="F238" s="137">
        <v>1.0</v>
      </c>
      <c r="G238" s="137">
        <v>1.0</v>
      </c>
      <c r="H238" s="137">
        <v>0.0</v>
      </c>
      <c r="I238" s="137">
        <v>1.0</v>
      </c>
      <c r="J238" s="137">
        <v>1.0</v>
      </c>
      <c r="K238" s="137">
        <v>0.0</v>
      </c>
      <c r="L238" s="137">
        <v>2.0</v>
      </c>
      <c r="M238" s="137">
        <v>2.0</v>
      </c>
    </row>
    <row r="239">
      <c r="A239" s="137">
        <v>2279.0</v>
      </c>
      <c r="B239" s="136" t="s">
        <v>1126</v>
      </c>
      <c r="C239" s="136" t="s">
        <v>1204</v>
      </c>
      <c r="D239" s="136" t="s">
        <v>1282</v>
      </c>
      <c r="E239" s="136" t="s">
        <v>1164</v>
      </c>
      <c r="F239" s="137">
        <v>1.0</v>
      </c>
      <c r="G239" s="137">
        <v>4.0</v>
      </c>
      <c r="H239" s="137">
        <v>-3.0</v>
      </c>
      <c r="I239" s="137">
        <v>1.0</v>
      </c>
      <c r="J239" s="137">
        <v>4.0</v>
      </c>
      <c r="K239" s="137">
        <v>-3.0</v>
      </c>
      <c r="L239" s="137">
        <v>8.0</v>
      </c>
      <c r="M239" s="137">
        <v>8.0</v>
      </c>
    </row>
    <row r="240">
      <c r="A240" s="137">
        <v>7156.0</v>
      </c>
      <c r="B240" s="136" t="s">
        <v>1126</v>
      </c>
      <c r="C240" s="136" t="s">
        <v>1203</v>
      </c>
      <c r="D240" s="136" t="s">
        <v>1283</v>
      </c>
      <c r="E240" s="136" t="s">
        <v>1164</v>
      </c>
      <c r="F240" s="137">
        <v>1.0</v>
      </c>
      <c r="G240" s="137">
        <v>2.0</v>
      </c>
      <c r="H240" s="137">
        <v>-1.0</v>
      </c>
      <c r="I240" s="137">
        <v>1.0</v>
      </c>
      <c r="J240" s="137">
        <v>2.0</v>
      </c>
      <c r="K240" s="137">
        <v>-1.0</v>
      </c>
      <c r="L240" s="137">
        <v>3.0</v>
      </c>
      <c r="M240" s="137">
        <v>3.0</v>
      </c>
    </row>
    <row r="241">
      <c r="A241" s="137">
        <v>6041.0</v>
      </c>
      <c r="B241" s="136" t="s">
        <v>1126</v>
      </c>
      <c r="C241" s="136" t="s">
        <v>1204</v>
      </c>
      <c r="D241" s="136" t="s">
        <v>713</v>
      </c>
      <c r="E241" s="136" t="s">
        <v>1175</v>
      </c>
      <c r="F241" s="137">
        <v>1.0</v>
      </c>
      <c r="G241" s="137">
        <v>3.0</v>
      </c>
      <c r="H241" s="137">
        <v>-2.0</v>
      </c>
      <c r="I241" s="137">
        <v>1.0</v>
      </c>
      <c r="J241" s="137">
        <v>3.0</v>
      </c>
      <c r="K241" s="137">
        <v>-2.0</v>
      </c>
      <c r="L241" s="137">
        <v>5.0</v>
      </c>
      <c r="M241" s="137">
        <v>5.0</v>
      </c>
    </row>
    <row r="242">
      <c r="A242" s="137">
        <v>6992.0</v>
      </c>
      <c r="B242" s="136" t="s">
        <v>1126</v>
      </c>
      <c r="C242" s="136" t="s">
        <v>1206</v>
      </c>
      <c r="D242" s="136" t="s">
        <v>1284</v>
      </c>
      <c r="E242" s="136" t="s">
        <v>1173</v>
      </c>
      <c r="F242" s="137">
        <v>1.0</v>
      </c>
      <c r="G242" s="137">
        <v>2.0</v>
      </c>
      <c r="H242" s="137">
        <v>-1.0</v>
      </c>
      <c r="I242" s="137">
        <v>1.0</v>
      </c>
      <c r="J242" s="137">
        <v>2.0</v>
      </c>
      <c r="K242" s="137">
        <v>-1.0</v>
      </c>
      <c r="L242" s="137">
        <v>4.0</v>
      </c>
      <c r="M242" s="137">
        <v>5.0</v>
      </c>
    </row>
    <row r="243">
      <c r="A243" s="137">
        <v>7196.0</v>
      </c>
      <c r="B243" s="136" t="s">
        <v>1126</v>
      </c>
      <c r="C243" s="136" t="s">
        <v>1204</v>
      </c>
      <c r="D243" s="136" t="s">
        <v>1285</v>
      </c>
      <c r="E243" s="136" t="s">
        <v>1172</v>
      </c>
      <c r="F243" s="137">
        <v>1.0</v>
      </c>
      <c r="G243" s="137">
        <v>2.0</v>
      </c>
      <c r="H243" s="137">
        <v>-1.0</v>
      </c>
      <c r="I243" s="137">
        <v>1.0</v>
      </c>
      <c r="J243" s="137">
        <v>2.0</v>
      </c>
      <c r="K243" s="137">
        <v>-1.0</v>
      </c>
      <c r="L243" s="137">
        <v>4.0</v>
      </c>
      <c r="M243" s="137">
        <v>4.0</v>
      </c>
    </row>
    <row r="244">
      <c r="A244" s="137">
        <v>7202.0</v>
      </c>
      <c r="B244" s="136" t="s">
        <v>1126</v>
      </c>
      <c r="C244" s="136" t="s">
        <v>1204</v>
      </c>
      <c r="D244" s="136" t="s">
        <v>1286</v>
      </c>
      <c r="E244" s="136" t="s">
        <v>1167</v>
      </c>
      <c r="F244" s="137">
        <v>1.0</v>
      </c>
      <c r="G244" s="137">
        <v>4.0</v>
      </c>
      <c r="H244" s="137">
        <v>-3.0</v>
      </c>
      <c r="I244" s="137">
        <v>1.0</v>
      </c>
      <c r="J244" s="137">
        <v>4.0</v>
      </c>
      <c r="K244" s="137">
        <v>-3.0</v>
      </c>
      <c r="L244" s="137">
        <v>8.0</v>
      </c>
      <c r="M244" s="137">
        <v>8.0</v>
      </c>
    </row>
    <row r="245">
      <c r="A245" s="137">
        <v>7238.0</v>
      </c>
      <c r="B245" s="136" t="s">
        <v>1126</v>
      </c>
      <c r="C245" s="136" t="s">
        <v>1204</v>
      </c>
      <c r="D245" s="136" t="s">
        <v>1287</v>
      </c>
      <c r="E245" s="136" t="s">
        <v>1165</v>
      </c>
      <c r="F245" s="137">
        <v>1.0</v>
      </c>
      <c r="G245" s="137">
        <v>1.0</v>
      </c>
      <c r="H245" s="137">
        <v>0.0</v>
      </c>
      <c r="I245" s="137">
        <v>1.0</v>
      </c>
      <c r="J245" s="137">
        <v>1.0</v>
      </c>
      <c r="K245" s="137">
        <v>0.0</v>
      </c>
      <c r="L245" s="137">
        <v>1.0</v>
      </c>
      <c r="M245" s="137">
        <v>1.0</v>
      </c>
    </row>
    <row r="246">
      <c r="A246" s="137">
        <v>6351.0</v>
      </c>
      <c r="B246" s="136" t="s">
        <v>1126</v>
      </c>
      <c r="C246" s="136" t="s">
        <v>1214</v>
      </c>
      <c r="D246" s="136" t="s">
        <v>1288</v>
      </c>
      <c r="E246" s="136" t="s">
        <v>1165</v>
      </c>
      <c r="F246" s="137">
        <v>1.0</v>
      </c>
      <c r="G246" s="137">
        <v>4.0</v>
      </c>
      <c r="H246" s="137">
        <v>-3.0</v>
      </c>
      <c r="I246" s="137">
        <v>1.0</v>
      </c>
      <c r="J246" s="137">
        <v>5.0</v>
      </c>
      <c r="K246" s="137">
        <v>-4.0</v>
      </c>
      <c r="L246" s="137">
        <v>5.0</v>
      </c>
      <c r="M246" s="137">
        <v>5.0</v>
      </c>
    </row>
    <row r="247">
      <c r="A247" s="137">
        <v>7271.0</v>
      </c>
      <c r="B247" s="136" t="s">
        <v>1126</v>
      </c>
      <c r="C247" s="136" t="s">
        <v>1204</v>
      </c>
      <c r="D247" s="136" t="s">
        <v>1289</v>
      </c>
      <c r="E247" s="136" t="s">
        <v>1152</v>
      </c>
      <c r="F247" s="137">
        <v>1.0</v>
      </c>
      <c r="G247" s="137">
        <v>2.0</v>
      </c>
      <c r="H247" s="137">
        <v>-1.0</v>
      </c>
      <c r="I247" s="137">
        <v>1.0</v>
      </c>
      <c r="J247" s="137">
        <v>2.0</v>
      </c>
      <c r="K247" s="137">
        <v>-1.0</v>
      </c>
      <c r="L247" s="137">
        <v>5.0</v>
      </c>
      <c r="M247" s="137">
        <v>5.0</v>
      </c>
    </row>
    <row r="248">
      <c r="A248" s="137">
        <v>6665.0</v>
      </c>
      <c r="B248" s="136" t="s">
        <v>1126</v>
      </c>
      <c r="C248" s="136" t="s">
        <v>1214</v>
      </c>
      <c r="D248" s="136" t="s">
        <v>931</v>
      </c>
      <c r="E248" s="136" t="s">
        <v>1164</v>
      </c>
      <c r="F248" s="137">
        <v>1.0</v>
      </c>
      <c r="G248" s="137">
        <v>3.0</v>
      </c>
      <c r="H248" s="137">
        <v>-2.0</v>
      </c>
      <c r="I248" s="137">
        <v>1.0</v>
      </c>
      <c r="J248" s="137">
        <v>4.0</v>
      </c>
      <c r="K248" s="137">
        <v>-3.0</v>
      </c>
      <c r="L248" s="137">
        <v>4.0</v>
      </c>
      <c r="M248" s="137">
        <v>6.0</v>
      </c>
    </row>
    <row r="249">
      <c r="A249" s="137">
        <v>7312.0</v>
      </c>
      <c r="B249" s="136" t="s">
        <v>1126</v>
      </c>
      <c r="C249" s="136" t="s">
        <v>1203</v>
      </c>
      <c r="D249" s="136" t="s">
        <v>1290</v>
      </c>
      <c r="E249" s="136" t="s">
        <v>1168</v>
      </c>
      <c r="F249" s="137">
        <v>1.0</v>
      </c>
      <c r="G249" s="137">
        <v>1.0</v>
      </c>
      <c r="H249" s="137">
        <v>0.0</v>
      </c>
      <c r="I249" s="137">
        <v>1.0</v>
      </c>
      <c r="J249" s="137">
        <v>1.0</v>
      </c>
      <c r="K249" s="137">
        <v>0.0</v>
      </c>
      <c r="L249" s="137">
        <v>1.0</v>
      </c>
      <c r="M249" s="137">
        <v>1.0</v>
      </c>
    </row>
    <row r="250">
      <c r="A250" s="137">
        <v>7346.0</v>
      </c>
      <c r="B250" s="136" t="s">
        <v>1126</v>
      </c>
      <c r="C250" s="136" t="s">
        <v>1207</v>
      </c>
      <c r="D250" s="136" t="s">
        <v>1291</v>
      </c>
      <c r="E250" s="136" t="s">
        <v>1162</v>
      </c>
      <c r="F250" s="137">
        <v>1.0</v>
      </c>
      <c r="G250" s="137">
        <v>1.0</v>
      </c>
      <c r="H250" s="137">
        <v>0.0</v>
      </c>
      <c r="I250" s="137">
        <v>1.0</v>
      </c>
      <c r="J250" s="137">
        <v>1.0</v>
      </c>
      <c r="K250" s="137">
        <v>0.0</v>
      </c>
      <c r="L250" s="137">
        <v>1.0</v>
      </c>
      <c r="M250" s="137">
        <v>1.0</v>
      </c>
    </row>
    <row r="251">
      <c r="A251" s="137">
        <v>7353.0</v>
      </c>
      <c r="B251" s="136" t="s">
        <v>1126</v>
      </c>
      <c r="C251" s="136" t="s">
        <v>1204</v>
      </c>
      <c r="D251" s="136" t="s">
        <v>1292</v>
      </c>
      <c r="E251" s="136" t="s">
        <v>1164</v>
      </c>
      <c r="F251" s="137">
        <v>1.0</v>
      </c>
      <c r="G251" s="137">
        <v>1.0</v>
      </c>
      <c r="H251" s="137">
        <v>0.0</v>
      </c>
      <c r="I251" s="137">
        <v>1.0</v>
      </c>
      <c r="J251" s="137">
        <v>1.0</v>
      </c>
      <c r="K251" s="137">
        <v>0.0</v>
      </c>
      <c r="L251" s="137">
        <v>3.0</v>
      </c>
      <c r="M251" s="137">
        <v>3.0</v>
      </c>
    </row>
    <row r="252">
      <c r="A252" s="137">
        <v>2423.0</v>
      </c>
      <c r="B252" s="136" t="s">
        <v>1127</v>
      </c>
      <c r="C252" s="136" t="s">
        <v>1293</v>
      </c>
      <c r="D252" s="136" t="s">
        <v>826</v>
      </c>
      <c r="E252" s="136" t="s">
        <v>1152</v>
      </c>
      <c r="F252" s="137">
        <v>31.0</v>
      </c>
      <c r="G252" s="137">
        <v>28.0</v>
      </c>
      <c r="H252" s="137">
        <v>3.0</v>
      </c>
      <c r="I252" s="137">
        <v>31.0</v>
      </c>
      <c r="J252" s="137">
        <v>28.0</v>
      </c>
      <c r="K252" s="137">
        <v>3.0</v>
      </c>
      <c r="L252" s="137">
        <v>261.0</v>
      </c>
      <c r="M252" s="137">
        <v>261.0</v>
      </c>
    </row>
    <row r="253">
      <c r="A253" s="137">
        <v>6875.0</v>
      </c>
      <c r="B253" s="136" t="s">
        <v>1127</v>
      </c>
      <c r="C253" s="136" t="s">
        <v>1293</v>
      </c>
      <c r="D253" s="136" t="s">
        <v>955</v>
      </c>
      <c r="E253" s="136" t="s">
        <v>1156</v>
      </c>
      <c r="F253" s="137">
        <v>30.0</v>
      </c>
      <c r="G253" s="137">
        <v>20.0</v>
      </c>
      <c r="H253" s="137">
        <v>10.0</v>
      </c>
      <c r="I253" s="137">
        <v>30.0</v>
      </c>
      <c r="J253" s="137">
        <v>20.0</v>
      </c>
      <c r="K253" s="137">
        <v>10.0</v>
      </c>
      <c r="L253" s="137">
        <v>270.0</v>
      </c>
      <c r="M253" s="137">
        <v>270.0</v>
      </c>
    </row>
    <row r="254">
      <c r="A254" s="137">
        <v>2194.0</v>
      </c>
      <c r="B254" s="136" t="s">
        <v>1127</v>
      </c>
      <c r="C254" s="136" t="s">
        <v>1294</v>
      </c>
      <c r="D254" s="136" t="s">
        <v>735</v>
      </c>
      <c r="E254" s="136" t="s">
        <v>1161</v>
      </c>
      <c r="F254" s="137">
        <v>28.0</v>
      </c>
      <c r="G254" s="137">
        <v>23.0</v>
      </c>
      <c r="H254" s="137">
        <v>5.0</v>
      </c>
      <c r="I254" s="137">
        <v>27.0</v>
      </c>
      <c r="J254" s="137">
        <v>24.0</v>
      </c>
      <c r="K254" s="137">
        <v>3.0</v>
      </c>
      <c r="L254" s="137">
        <v>225.0</v>
      </c>
      <c r="M254" s="137">
        <v>245.0</v>
      </c>
    </row>
    <row r="255">
      <c r="A255" s="137">
        <v>4777.0</v>
      </c>
      <c r="B255" s="136" t="s">
        <v>1127</v>
      </c>
      <c r="C255" s="136" t="s">
        <v>1295</v>
      </c>
      <c r="D255" s="136" t="s">
        <v>999</v>
      </c>
      <c r="E255" s="136" t="s">
        <v>1155</v>
      </c>
      <c r="F255" s="137">
        <v>24.0</v>
      </c>
      <c r="G255" s="137">
        <v>26.0</v>
      </c>
      <c r="H255" s="137">
        <v>-2.0</v>
      </c>
      <c r="I255" s="137">
        <v>24.0</v>
      </c>
      <c r="J255" s="137">
        <v>26.0</v>
      </c>
      <c r="K255" s="137">
        <v>-2.0</v>
      </c>
      <c r="L255" s="137">
        <v>208.0</v>
      </c>
      <c r="M255" s="137">
        <v>208.0</v>
      </c>
    </row>
    <row r="256">
      <c r="A256" s="137">
        <v>2379.0</v>
      </c>
      <c r="B256" s="136" t="s">
        <v>1127</v>
      </c>
      <c r="C256" s="136" t="s">
        <v>1295</v>
      </c>
      <c r="D256" s="136" t="s">
        <v>618</v>
      </c>
      <c r="E256" s="136" t="s">
        <v>1152</v>
      </c>
      <c r="F256" s="137">
        <v>24.0</v>
      </c>
      <c r="G256" s="137">
        <v>23.0</v>
      </c>
      <c r="H256" s="137">
        <v>1.0</v>
      </c>
      <c r="I256" s="137">
        <v>24.0</v>
      </c>
      <c r="J256" s="137">
        <v>23.0</v>
      </c>
      <c r="K256" s="137">
        <v>1.0</v>
      </c>
      <c r="L256" s="137">
        <v>102.0</v>
      </c>
      <c r="M256" s="137">
        <v>102.0</v>
      </c>
    </row>
    <row r="257">
      <c r="A257" s="137">
        <v>2167.0</v>
      </c>
      <c r="B257" s="136" t="s">
        <v>1127</v>
      </c>
      <c r="C257" s="136" t="s">
        <v>1296</v>
      </c>
      <c r="D257" s="136" t="s">
        <v>739</v>
      </c>
      <c r="E257" s="136" t="s">
        <v>1169</v>
      </c>
      <c r="F257" s="137">
        <v>23.0</v>
      </c>
      <c r="G257" s="137">
        <v>30.0</v>
      </c>
      <c r="H257" s="137">
        <v>-7.0</v>
      </c>
      <c r="I257" s="137">
        <v>23.0</v>
      </c>
      <c r="J257" s="137">
        <v>29.0</v>
      </c>
      <c r="K257" s="137">
        <v>-6.0</v>
      </c>
      <c r="L257" s="137">
        <v>210.0</v>
      </c>
      <c r="M257" s="137">
        <v>210.0</v>
      </c>
    </row>
    <row r="258">
      <c r="A258" s="137">
        <v>152.0</v>
      </c>
      <c r="B258" s="136" t="s">
        <v>1127</v>
      </c>
      <c r="C258" s="136" t="s">
        <v>1295</v>
      </c>
      <c r="D258" s="136" t="s">
        <v>598</v>
      </c>
      <c r="E258" s="136" t="s">
        <v>1161</v>
      </c>
      <c r="F258" s="137">
        <v>20.0</v>
      </c>
      <c r="G258" s="137">
        <v>4.0</v>
      </c>
      <c r="H258" s="137">
        <v>16.0</v>
      </c>
      <c r="I258" s="137">
        <v>20.0</v>
      </c>
      <c r="J258" s="137">
        <v>4.0</v>
      </c>
      <c r="K258" s="137">
        <v>16.0</v>
      </c>
      <c r="L258" s="137">
        <v>35.0</v>
      </c>
      <c r="M258" s="137">
        <v>35.0</v>
      </c>
    </row>
    <row r="259">
      <c r="A259" s="137">
        <v>2606.0</v>
      </c>
      <c r="B259" s="136" t="s">
        <v>1127</v>
      </c>
      <c r="C259" s="136" t="s">
        <v>1127</v>
      </c>
      <c r="D259" s="136" t="s">
        <v>1042</v>
      </c>
      <c r="E259" s="136" t="s">
        <v>1152</v>
      </c>
      <c r="F259" s="137">
        <v>20.0</v>
      </c>
      <c r="G259" s="137">
        <v>12.0</v>
      </c>
      <c r="H259" s="137">
        <v>8.0</v>
      </c>
      <c r="I259" s="137">
        <v>20.0</v>
      </c>
      <c r="J259" s="137">
        <v>12.0</v>
      </c>
      <c r="K259" s="137">
        <v>8.0</v>
      </c>
      <c r="L259" s="137">
        <v>76.0</v>
      </c>
      <c r="M259" s="137">
        <v>76.0</v>
      </c>
    </row>
    <row r="260">
      <c r="A260" s="137">
        <v>2517.0</v>
      </c>
      <c r="B260" s="136" t="s">
        <v>1127</v>
      </c>
      <c r="C260" s="136" t="s">
        <v>1297</v>
      </c>
      <c r="D260" s="136" t="s">
        <v>1087</v>
      </c>
      <c r="E260" s="136" t="s">
        <v>1155</v>
      </c>
      <c r="F260" s="137">
        <v>20.0</v>
      </c>
      <c r="G260" s="137">
        <v>23.0</v>
      </c>
      <c r="H260" s="137">
        <v>-3.0</v>
      </c>
      <c r="I260" s="137">
        <v>19.0</v>
      </c>
      <c r="J260" s="137">
        <v>22.0</v>
      </c>
      <c r="K260" s="137">
        <v>-3.0</v>
      </c>
      <c r="L260" s="137">
        <v>90.0</v>
      </c>
      <c r="M260" s="137">
        <v>90.0</v>
      </c>
    </row>
    <row r="261">
      <c r="A261" s="137">
        <v>2766.0</v>
      </c>
      <c r="B261" s="136" t="s">
        <v>1127</v>
      </c>
      <c r="C261" s="136" t="s">
        <v>1293</v>
      </c>
      <c r="D261" s="136" t="s">
        <v>597</v>
      </c>
      <c r="E261" s="136" t="s">
        <v>1168</v>
      </c>
      <c r="F261" s="137">
        <v>20.0</v>
      </c>
      <c r="G261" s="137">
        <v>11.0</v>
      </c>
      <c r="H261" s="137">
        <v>9.0</v>
      </c>
      <c r="I261" s="137">
        <v>20.0</v>
      </c>
      <c r="J261" s="137">
        <v>10.0</v>
      </c>
      <c r="K261" s="137">
        <v>10.0</v>
      </c>
      <c r="L261" s="137">
        <v>80.0</v>
      </c>
      <c r="M261" s="137">
        <v>80.0</v>
      </c>
    </row>
    <row r="262">
      <c r="A262" s="137">
        <v>1933.0</v>
      </c>
      <c r="B262" s="136" t="s">
        <v>1127</v>
      </c>
      <c r="C262" s="136" t="s">
        <v>1294</v>
      </c>
      <c r="D262" s="136" t="s">
        <v>1298</v>
      </c>
      <c r="E262" s="136" t="s">
        <v>1165</v>
      </c>
      <c r="F262" s="137">
        <v>19.0</v>
      </c>
      <c r="G262" s="137">
        <v>14.0</v>
      </c>
      <c r="H262" s="137">
        <v>5.0</v>
      </c>
      <c r="I262" s="137">
        <v>19.0</v>
      </c>
      <c r="J262" s="137">
        <v>14.0</v>
      </c>
      <c r="K262" s="137">
        <v>5.0</v>
      </c>
      <c r="L262" s="137">
        <v>82.0</v>
      </c>
      <c r="M262" s="137">
        <v>92.0</v>
      </c>
    </row>
    <row r="263">
      <c r="A263" s="137">
        <v>4892.0</v>
      </c>
      <c r="B263" s="136" t="s">
        <v>1127</v>
      </c>
      <c r="C263" s="136" t="s">
        <v>1299</v>
      </c>
      <c r="D263" s="136" t="s">
        <v>636</v>
      </c>
      <c r="E263" s="136" t="s">
        <v>1152</v>
      </c>
      <c r="F263" s="137">
        <v>19.0</v>
      </c>
      <c r="G263" s="137">
        <v>12.0</v>
      </c>
      <c r="H263" s="137">
        <v>7.0</v>
      </c>
      <c r="I263" s="137">
        <v>19.0</v>
      </c>
      <c r="J263" s="137">
        <v>14.0</v>
      </c>
      <c r="K263" s="137">
        <v>5.0</v>
      </c>
      <c r="L263" s="137">
        <v>91.0</v>
      </c>
      <c r="M263" s="137">
        <v>91.0</v>
      </c>
    </row>
    <row r="264">
      <c r="A264" s="137">
        <v>2765.0</v>
      </c>
      <c r="B264" s="136" t="s">
        <v>1127</v>
      </c>
      <c r="C264" s="136" t="s">
        <v>1293</v>
      </c>
      <c r="D264" s="136" t="s">
        <v>1045</v>
      </c>
      <c r="E264" s="136" t="s">
        <v>1169</v>
      </c>
      <c r="F264" s="137">
        <v>18.0</v>
      </c>
      <c r="G264" s="137">
        <v>16.0</v>
      </c>
      <c r="H264" s="137">
        <v>2.0</v>
      </c>
      <c r="I264" s="137">
        <v>18.0</v>
      </c>
      <c r="J264" s="137">
        <v>15.0</v>
      </c>
      <c r="K264" s="137">
        <v>3.0</v>
      </c>
      <c r="L264" s="137">
        <v>33.0</v>
      </c>
      <c r="M264" s="137">
        <v>33.0</v>
      </c>
    </row>
    <row r="265">
      <c r="A265" s="137">
        <v>4220.0</v>
      </c>
      <c r="B265" s="136" t="s">
        <v>1127</v>
      </c>
      <c r="C265" s="136" t="s">
        <v>1294</v>
      </c>
      <c r="D265" s="136" t="s">
        <v>748</v>
      </c>
      <c r="E265" s="136" t="s">
        <v>1155</v>
      </c>
      <c r="F265" s="137">
        <v>18.0</v>
      </c>
      <c r="G265" s="137">
        <v>15.0</v>
      </c>
      <c r="H265" s="137">
        <v>3.0</v>
      </c>
      <c r="I265" s="137">
        <v>19.0</v>
      </c>
      <c r="J265" s="137">
        <v>16.0</v>
      </c>
      <c r="K265" s="137">
        <v>3.0</v>
      </c>
      <c r="L265" s="137">
        <v>70.0</v>
      </c>
      <c r="M265" s="137">
        <v>80.0</v>
      </c>
    </row>
    <row r="266">
      <c r="A266" s="137">
        <v>6908.0</v>
      </c>
      <c r="B266" s="136" t="s">
        <v>1127</v>
      </c>
      <c r="C266" s="136" t="s">
        <v>1127</v>
      </c>
      <c r="D266" s="136" t="s">
        <v>1091</v>
      </c>
      <c r="E266" s="136" t="s">
        <v>1168</v>
      </c>
      <c r="F266" s="137">
        <v>18.0</v>
      </c>
      <c r="G266" s="137">
        <v>6.0</v>
      </c>
      <c r="H266" s="137">
        <v>12.0</v>
      </c>
      <c r="I266" s="137">
        <v>18.0</v>
      </c>
      <c r="J266" s="137">
        <v>6.0</v>
      </c>
      <c r="K266" s="137">
        <v>12.0</v>
      </c>
      <c r="L266" s="137">
        <v>55.0</v>
      </c>
      <c r="M266" s="137">
        <v>55.0</v>
      </c>
    </row>
    <row r="267">
      <c r="A267" s="137">
        <v>5800.0</v>
      </c>
      <c r="B267" s="136" t="s">
        <v>1127</v>
      </c>
      <c r="C267" s="136" t="s">
        <v>1293</v>
      </c>
      <c r="D267" s="136" t="s">
        <v>888</v>
      </c>
      <c r="E267" s="136" t="s">
        <v>1165</v>
      </c>
      <c r="F267" s="137">
        <v>17.0</v>
      </c>
      <c r="G267" s="137">
        <v>24.0</v>
      </c>
      <c r="H267" s="137">
        <v>-7.0</v>
      </c>
      <c r="I267" s="137">
        <v>17.0</v>
      </c>
      <c r="J267" s="137">
        <v>23.0</v>
      </c>
      <c r="K267" s="137">
        <v>-6.0</v>
      </c>
      <c r="L267" s="137">
        <v>75.0</v>
      </c>
      <c r="M267" s="137">
        <v>75.0</v>
      </c>
    </row>
    <row r="268">
      <c r="A268" s="137">
        <v>5589.0</v>
      </c>
      <c r="B268" s="136" t="s">
        <v>1127</v>
      </c>
      <c r="C268" s="136" t="s">
        <v>1294</v>
      </c>
      <c r="D268" s="136" t="s">
        <v>1090</v>
      </c>
      <c r="E268" s="136" t="s">
        <v>1153</v>
      </c>
      <c r="F268" s="137">
        <v>17.0</v>
      </c>
      <c r="G268" s="137">
        <v>14.0</v>
      </c>
      <c r="H268" s="137">
        <v>3.0</v>
      </c>
      <c r="I268" s="137">
        <v>17.0</v>
      </c>
      <c r="J268" s="137">
        <v>15.0</v>
      </c>
      <c r="K268" s="137">
        <v>2.0</v>
      </c>
      <c r="L268" s="137">
        <v>50.0</v>
      </c>
      <c r="M268" s="137">
        <v>60.0</v>
      </c>
    </row>
    <row r="269">
      <c r="A269" s="137">
        <v>5687.0</v>
      </c>
      <c r="B269" s="136" t="s">
        <v>1127</v>
      </c>
      <c r="C269" s="136" t="s">
        <v>1297</v>
      </c>
      <c r="D269" s="136" t="s">
        <v>732</v>
      </c>
      <c r="E269" s="136" t="s">
        <v>1175</v>
      </c>
      <c r="F269" s="137">
        <v>17.0</v>
      </c>
      <c r="G269" s="137">
        <v>15.0</v>
      </c>
      <c r="H269" s="137">
        <v>2.0</v>
      </c>
      <c r="I269" s="137">
        <v>17.0</v>
      </c>
      <c r="J269" s="137">
        <v>14.0</v>
      </c>
      <c r="K269" s="137">
        <v>3.0</v>
      </c>
      <c r="L269" s="137">
        <v>74.0</v>
      </c>
      <c r="M269" s="137">
        <v>74.0</v>
      </c>
    </row>
    <row r="270">
      <c r="A270" s="137">
        <v>6151.0</v>
      </c>
      <c r="B270" s="136" t="s">
        <v>1127</v>
      </c>
      <c r="C270" s="136" t="s">
        <v>1294</v>
      </c>
      <c r="D270" s="136" t="s">
        <v>1097</v>
      </c>
      <c r="E270" s="136" t="s">
        <v>1156</v>
      </c>
      <c r="F270" s="137">
        <v>16.0</v>
      </c>
      <c r="G270" s="137">
        <v>8.0</v>
      </c>
      <c r="H270" s="137">
        <v>8.0</v>
      </c>
      <c r="I270" s="137">
        <v>16.0</v>
      </c>
      <c r="J270" s="137">
        <v>9.0</v>
      </c>
      <c r="K270" s="137">
        <v>7.0</v>
      </c>
      <c r="L270" s="137">
        <v>41.0</v>
      </c>
      <c r="M270" s="137">
        <v>46.0</v>
      </c>
    </row>
    <row r="271">
      <c r="A271" s="137">
        <v>7126.0</v>
      </c>
      <c r="B271" s="136" t="s">
        <v>1127</v>
      </c>
      <c r="C271" s="136" t="s">
        <v>1297</v>
      </c>
      <c r="D271" s="136" t="s">
        <v>1051</v>
      </c>
      <c r="E271" s="136" t="s">
        <v>1156</v>
      </c>
      <c r="F271" s="137">
        <v>16.0</v>
      </c>
      <c r="G271" s="137">
        <v>9.0</v>
      </c>
      <c r="H271" s="137">
        <v>7.0</v>
      </c>
      <c r="I271" s="137">
        <v>16.0</v>
      </c>
      <c r="J271" s="137">
        <v>8.0</v>
      </c>
      <c r="K271" s="137">
        <v>8.0</v>
      </c>
      <c r="L271" s="137">
        <v>40.0</v>
      </c>
      <c r="M271" s="137">
        <v>40.0</v>
      </c>
    </row>
    <row r="272">
      <c r="A272" s="137">
        <v>5422.0</v>
      </c>
      <c r="B272" s="136" t="s">
        <v>1127</v>
      </c>
      <c r="C272" s="136" t="s">
        <v>1299</v>
      </c>
      <c r="D272" s="136" t="s">
        <v>627</v>
      </c>
      <c r="E272" s="136" t="s">
        <v>1154</v>
      </c>
      <c r="F272" s="137">
        <v>16.0</v>
      </c>
      <c r="G272" s="137">
        <v>6.0</v>
      </c>
      <c r="H272" s="137">
        <v>10.0</v>
      </c>
      <c r="I272" s="137">
        <v>16.0</v>
      </c>
      <c r="J272" s="137">
        <v>6.0</v>
      </c>
      <c r="K272" s="137">
        <v>10.0</v>
      </c>
      <c r="L272" s="137">
        <v>20.0</v>
      </c>
      <c r="M272" s="137">
        <v>20.0</v>
      </c>
    </row>
    <row r="273">
      <c r="A273" s="137">
        <v>1870.0</v>
      </c>
      <c r="B273" s="136" t="s">
        <v>1127</v>
      </c>
      <c r="C273" s="136" t="s">
        <v>1127</v>
      </c>
      <c r="D273" s="136" t="s">
        <v>733</v>
      </c>
      <c r="E273" s="136" t="s">
        <v>1161</v>
      </c>
      <c r="F273" s="137">
        <v>16.0</v>
      </c>
      <c r="G273" s="137">
        <v>14.0</v>
      </c>
      <c r="H273" s="137">
        <v>2.0</v>
      </c>
      <c r="I273" s="137">
        <v>16.0</v>
      </c>
      <c r="J273" s="137">
        <v>14.0</v>
      </c>
      <c r="K273" s="137">
        <v>2.0</v>
      </c>
      <c r="L273" s="137">
        <v>66.0</v>
      </c>
      <c r="M273" s="137">
        <v>66.0</v>
      </c>
    </row>
    <row r="274">
      <c r="A274" s="137">
        <v>6831.0</v>
      </c>
      <c r="B274" s="136" t="s">
        <v>1127</v>
      </c>
      <c r="C274" s="136" t="s">
        <v>1296</v>
      </c>
      <c r="D274" s="136" t="s">
        <v>942</v>
      </c>
      <c r="E274" s="136" t="s">
        <v>1155</v>
      </c>
      <c r="F274" s="137">
        <v>16.0</v>
      </c>
      <c r="G274" s="137">
        <v>13.0</v>
      </c>
      <c r="H274" s="137">
        <v>3.0</v>
      </c>
      <c r="I274" s="137">
        <v>16.0</v>
      </c>
      <c r="J274" s="137">
        <v>13.0</v>
      </c>
      <c r="K274" s="137">
        <v>3.0</v>
      </c>
      <c r="L274" s="137">
        <v>40.0</v>
      </c>
      <c r="M274" s="137">
        <v>41.0</v>
      </c>
    </row>
    <row r="275">
      <c r="A275" s="137">
        <v>6666.0</v>
      </c>
      <c r="B275" s="136" t="s">
        <v>1127</v>
      </c>
      <c r="C275" s="136" t="s">
        <v>1127</v>
      </c>
      <c r="D275" s="136" t="s">
        <v>1044</v>
      </c>
      <c r="E275" s="136" t="s">
        <v>1167</v>
      </c>
      <c r="F275" s="137">
        <v>16.0</v>
      </c>
      <c r="G275" s="137">
        <v>11.0</v>
      </c>
      <c r="H275" s="137">
        <v>5.0</v>
      </c>
      <c r="I275" s="137">
        <v>16.0</v>
      </c>
      <c r="J275" s="137">
        <v>11.0</v>
      </c>
      <c r="K275" s="137">
        <v>5.0</v>
      </c>
      <c r="L275" s="137">
        <v>33.0</v>
      </c>
      <c r="M275" s="137">
        <v>33.0</v>
      </c>
    </row>
    <row r="276">
      <c r="A276" s="137">
        <v>6717.0</v>
      </c>
      <c r="B276" s="136" t="s">
        <v>1127</v>
      </c>
      <c r="C276" s="136" t="s">
        <v>1294</v>
      </c>
      <c r="D276" s="136" t="s">
        <v>1300</v>
      </c>
      <c r="E276" s="136" t="s">
        <v>1164</v>
      </c>
      <c r="F276" s="137">
        <v>16.0</v>
      </c>
      <c r="G276" s="137">
        <v>6.0</v>
      </c>
      <c r="H276" s="137">
        <v>10.0</v>
      </c>
      <c r="I276" s="137">
        <v>16.0</v>
      </c>
      <c r="J276" s="137">
        <v>7.0</v>
      </c>
      <c r="K276" s="137">
        <v>9.0</v>
      </c>
      <c r="L276" s="137">
        <v>29.0</v>
      </c>
      <c r="M276" s="137">
        <v>34.0</v>
      </c>
    </row>
    <row r="277">
      <c r="A277" s="137">
        <v>530.0</v>
      </c>
      <c r="B277" s="136" t="s">
        <v>1127</v>
      </c>
      <c r="C277" s="136" t="s">
        <v>1295</v>
      </c>
      <c r="D277" s="136" t="s">
        <v>734</v>
      </c>
      <c r="E277" s="136" t="s">
        <v>1153</v>
      </c>
      <c r="F277" s="137">
        <v>15.0</v>
      </c>
      <c r="G277" s="137">
        <v>11.0</v>
      </c>
      <c r="H277" s="137">
        <v>4.0</v>
      </c>
      <c r="I277" s="137">
        <v>15.0</v>
      </c>
      <c r="J277" s="137">
        <v>11.0</v>
      </c>
      <c r="K277" s="137">
        <v>4.0</v>
      </c>
      <c r="L277" s="137">
        <v>29.0</v>
      </c>
      <c r="M277" s="137">
        <v>29.0</v>
      </c>
    </row>
    <row r="278">
      <c r="A278" s="137">
        <v>4364.0</v>
      </c>
      <c r="B278" s="136" t="s">
        <v>1127</v>
      </c>
      <c r="C278" s="136" t="s">
        <v>1297</v>
      </c>
      <c r="D278" s="136" t="s">
        <v>1002</v>
      </c>
      <c r="E278" s="136" t="s">
        <v>1162</v>
      </c>
      <c r="F278" s="137">
        <v>14.0</v>
      </c>
      <c r="G278" s="137">
        <v>8.0</v>
      </c>
      <c r="H278" s="137">
        <v>6.0</v>
      </c>
      <c r="I278" s="137">
        <v>14.0</v>
      </c>
      <c r="J278" s="137">
        <v>7.0</v>
      </c>
      <c r="K278" s="137">
        <v>7.0</v>
      </c>
      <c r="L278" s="137">
        <v>19.0</v>
      </c>
      <c r="M278" s="137">
        <v>17.0</v>
      </c>
    </row>
    <row r="279">
      <c r="A279" s="137">
        <v>4427.0</v>
      </c>
      <c r="B279" s="136" t="s">
        <v>1127</v>
      </c>
      <c r="C279" s="136" t="s">
        <v>1295</v>
      </c>
      <c r="D279" s="136" t="s">
        <v>741</v>
      </c>
      <c r="E279" s="136" t="s">
        <v>1170</v>
      </c>
      <c r="F279" s="137">
        <v>14.0</v>
      </c>
      <c r="G279" s="137">
        <v>8.0</v>
      </c>
      <c r="H279" s="137">
        <v>6.0</v>
      </c>
      <c r="I279" s="137">
        <v>14.0</v>
      </c>
      <c r="J279" s="137">
        <v>8.0</v>
      </c>
      <c r="K279" s="137">
        <v>6.0</v>
      </c>
      <c r="L279" s="137">
        <v>42.0</v>
      </c>
      <c r="M279" s="137">
        <v>42.0</v>
      </c>
    </row>
    <row r="280">
      <c r="A280" s="137">
        <v>4404.0</v>
      </c>
      <c r="B280" s="136" t="s">
        <v>1127</v>
      </c>
      <c r="C280" s="136" t="s">
        <v>1295</v>
      </c>
      <c r="D280" s="136" t="s">
        <v>1301</v>
      </c>
      <c r="E280" s="136" t="s">
        <v>1160</v>
      </c>
      <c r="F280" s="137">
        <v>14.0</v>
      </c>
      <c r="G280" s="137">
        <v>5.0</v>
      </c>
      <c r="H280" s="137">
        <v>9.0</v>
      </c>
      <c r="I280" s="137">
        <v>14.0</v>
      </c>
      <c r="J280" s="137">
        <v>5.0</v>
      </c>
      <c r="K280" s="137">
        <v>9.0</v>
      </c>
      <c r="L280" s="137">
        <v>12.0</v>
      </c>
      <c r="M280" s="137">
        <v>12.0</v>
      </c>
    </row>
    <row r="281">
      <c r="A281" s="137">
        <v>827.0</v>
      </c>
      <c r="B281" s="136" t="s">
        <v>1127</v>
      </c>
      <c r="C281" s="136" t="s">
        <v>1294</v>
      </c>
      <c r="D281" s="136" t="s">
        <v>747</v>
      </c>
      <c r="E281" s="136" t="s">
        <v>1158</v>
      </c>
      <c r="F281" s="137">
        <v>14.0</v>
      </c>
      <c r="G281" s="137">
        <v>12.0</v>
      </c>
      <c r="H281" s="137">
        <v>2.0</v>
      </c>
      <c r="I281" s="137">
        <v>14.0</v>
      </c>
      <c r="J281" s="137">
        <v>13.0</v>
      </c>
      <c r="K281" s="137">
        <v>1.0</v>
      </c>
      <c r="L281" s="137">
        <v>47.0</v>
      </c>
      <c r="M281" s="137">
        <v>52.0</v>
      </c>
    </row>
    <row r="282">
      <c r="A282" s="137">
        <v>4973.0</v>
      </c>
      <c r="B282" s="136" t="s">
        <v>1127</v>
      </c>
      <c r="C282" s="136" t="s">
        <v>1294</v>
      </c>
      <c r="D282" s="136" t="s">
        <v>1302</v>
      </c>
      <c r="E282" s="136" t="s">
        <v>1158</v>
      </c>
      <c r="F282" s="137">
        <v>14.0</v>
      </c>
      <c r="G282" s="137">
        <v>10.0</v>
      </c>
      <c r="H282" s="137">
        <v>4.0</v>
      </c>
      <c r="I282" s="137">
        <v>13.0</v>
      </c>
      <c r="J282" s="137">
        <v>11.0</v>
      </c>
      <c r="K282" s="137">
        <v>2.0</v>
      </c>
      <c r="L282" s="137">
        <v>51.0</v>
      </c>
      <c r="M282" s="137">
        <v>61.0</v>
      </c>
    </row>
    <row r="283">
      <c r="A283" s="137">
        <v>5562.0</v>
      </c>
      <c r="B283" s="136" t="s">
        <v>1127</v>
      </c>
      <c r="C283" s="136" t="s">
        <v>1294</v>
      </c>
      <c r="D283" s="136" t="s">
        <v>1001</v>
      </c>
      <c r="E283" s="136" t="s">
        <v>1158</v>
      </c>
      <c r="F283" s="137">
        <v>14.0</v>
      </c>
      <c r="G283" s="137">
        <v>16.0</v>
      </c>
      <c r="H283" s="137">
        <v>-2.0</v>
      </c>
      <c r="I283" s="137">
        <v>14.0</v>
      </c>
      <c r="J283" s="137">
        <v>17.0</v>
      </c>
      <c r="K283" s="137">
        <v>-3.0</v>
      </c>
      <c r="L283" s="137">
        <v>48.0</v>
      </c>
      <c r="M283" s="137">
        <v>53.0</v>
      </c>
    </row>
    <row r="284">
      <c r="A284" s="137">
        <v>6884.0</v>
      </c>
      <c r="B284" s="136" t="s">
        <v>1127</v>
      </c>
      <c r="C284" s="136" t="s">
        <v>1296</v>
      </c>
      <c r="D284" s="136" t="s">
        <v>1003</v>
      </c>
      <c r="E284" s="136" t="s">
        <v>1158</v>
      </c>
      <c r="F284" s="137">
        <v>14.0</v>
      </c>
      <c r="G284" s="137">
        <v>18.0</v>
      </c>
      <c r="H284" s="137">
        <v>-4.0</v>
      </c>
      <c r="I284" s="137">
        <v>14.0</v>
      </c>
      <c r="J284" s="137">
        <v>17.0</v>
      </c>
      <c r="K284" s="137">
        <v>-3.0</v>
      </c>
      <c r="L284" s="137">
        <v>38.0</v>
      </c>
      <c r="M284" s="137">
        <v>38.0</v>
      </c>
    </row>
    <row r="285">
      <c r="A285" s="137">
        <v>6398.0</v>
      </c>
      <c r="B285" s="136" t="s">
        <v>1127</v>
      </c>
      <c r="C285" s="136" t="s">
        <v>1296</v>
      </c>
      <c r="D285" s="136" t="s">
        <v>858</v>
      </c>
      <c r="E285" s="136" t="s">
        <v>1157</v>
      </c>
      <c r="F285" s="137">
        <v>14.0</v>
      </c>
      <c r="G285" s="137">
        <v>14.0</v>
      </c>
      <c r="H285" s="137">
        <v>0.0</v>
      </c>
      <c r="I285" s="137">
        <v>14.0</v>
      </c>
      <c r="J285" s="137">
        <v>14.0</v>
      </c>
      <c r="K285" s="137">
        <v>0.0</v>
      </c>
      <c r="L285" s="137">
        <v>28.0</v>
      </c>
      <c r="M285" s="137">
        <v>28.0</v>
      </c>
    </row>
    <row r="286">
      <c r="A286" s="137">
        <v>632.0</v>
      </c>
      <c r="B286" s="136" t="s">
        <v>1127</v>
      </c>
      <c r="C286" s="136" t="s">
        <v>1296</v>
      </c>
      <c r="D286" s="136" t="s">
        <v>604</v>
      </c>
      <c r="E286" s="136" t="s">
        <v>1157</v>
      </c>
      <c r="F286" s="137">
        <v>14.0</v>
      </c>
      <c r="G286" s="137">
        <v>26.0</v>
      </c>
      <c r="H286" s="137">
        <v>-12.0</v>
      </c>
      <c r="I286" s="137">
        <v>14.0</v>
      </c>
      <c r="J286" s="137">
        <v>25.0</v>
      </c>
      <c r="K286" s="137">
        <v>-11.0</v>
      </c>
      <c r="L286" s="137">
        <v>79.0</v>
      </c>
      <c r="M286" s="137">
        <v>79.0</v>
      </c>
    </row>
    <row r="287">
      <c r="A287" s="137">
        <v>2077.0</v>
      </c>
      <c r="B287" s="136" t="s">
        <v>1127</v>
      </c>
      <c r="C287" s="136" t="s">
        <v>1295</v>
      </c>
      <c r="D287" s="136" t="s">
        <v>740</v>
      </c>
      <c r="E287" s="136" t="s">
        <v>1154</v>
      </c>
      <c r="F287" s="137">
        <v>13.0</v>
      </c>
      <c r="G287" s="137">
        <v>9.0</v>
      </c>
      <c r="H287" s="137">
        <v>4.0</v>
      </c>
      <c r="I287" s="137">
        <v>13.0</v>
      </c>
      <c r="J287" s="137">
        <v>9.0</v>
      </c>
      <c r="K287" s="137">
        <v>4.0</v>
      </c>
      <c r="L287" s="137">
        <v>22.0</v>
      </c>
      <c r="M287" s="137">
        <v>22.0</v>
      </c>
    </row>
    <row r="288">
      <c r="A288" s="137">
        <v>5036.0</v>
      </c>
      <c r="B288" s="136" t="s">
        <v>1127</v>
      </c>
      <c r="C288" s="136" t="s">
        <v>1295</v>
      </c>
      <c r="D288" s="136" t="s">
        <v>1303</v>
      </c>
      <c r="E288" s="136" t="s">
        <v>1156</v>
      </c>
      <c r="F288" s="137">
        <v>13.0</v>
      </c>
      <c r="G288" s="137">
        <v>12.0</v>
      </c>
      <c r="H288" s="137">
        <v>1.0</v>
      </c>
      <c r="I288" s="137">
        <v>13.0</v>
      </c>
      <c r="J288" s="137">
        <v>12.0</v>
      </c>
      <c r="K288" s="137">
        <v>1.0</v>
      </c>
      <c r="L288" s="137">
        <v>13.0</v>
      </c>
      <c r="M288" s="137">
        <v>13.0</v>
      </c>
    </row>
    <row r="289">
      <c r="A289" s="137">
        <v>5559.0</v>
      </c>
      <c r="B289" s="136" t="s">
        <v>1127</v>
      </c>
      <c r="C289" s="136" t="s">
        <v>1304</v>
      </c>
      <c r="D289" s="136" t="s">
        <v>1005</v>
      </c>
      <c r="E289" s="136" t="s">
        <v>1156</v>
      </c>
      <c r="F289" s="137">
        <v>13.0</v>
      </c>
      <c r="G289" s="137">
        <v>12.0</v>
      </c>
      <c r="H289" s="137">
        <v>1.0</v>
      </c>
      <c r="I289" s="137">
        <v>13.0</v>
      </c>
      <c r="J289" s="137">
        <v>13.0</v>
      </c>
      <c r="K289" s="137">
        <v>0.0</v>
      </c>
      <c r="L289" s="137">
        <v>22.0</v>
      </c>
      <c r="M289" s="137">
        <v>25.0</v>
      </c>
    </row>
    <row r="290">
      <c r="A290" s="137">
        <v>7133.0</v>
      </c>
      <c r="B290" s="136" t="s">
        <v>1127</v>
      </c>
      <c r="C290" s="136" t="s">
        <v>1305</v>
      </c>
      <c r="D290" s="136" t="s">
        <v>1093</v>
      </c>
      <c r="E290" s="136" t="s">
        <v>1160</v>
      </c>
      <c r="F290" s="137">
        <v>13.0</v>
      </c>
      <c r="G290" s="137">
        <v>12.0</v>
      </c>
      <c r="H290" s="137">
        <v>1.0</v>
      </c>
      <c r="I290" s="137">
        <v>13.0</v>
      </c>
      <c r="J290" s="137">
        <v>12.0</v>
      </c>
      <c r="K290" s="137">
        <v>1.0</v>
      </c>
      <c r="L290" s="137">
        <v>22.0</v>
      </c>
      <c r="M290" s="137">
        <v>25.0</v>
      </c>
    </row>
    <row r="291">
      <c r="A291" s="137">
        <v>4711.0</v>
      </c>
      <c r="B291" s="136" t="s">
        <v>1127</v>
      </c>
      <c r="C291" s="136" t="s">
        <v>1299</v>
      </c>
      <c r="D291" s="136" t="s">
        <v>616</v>
      </c>
      <c r="E291" s="136" t="s">
        <v>1158</v>
      </c>
      <c r="F291" s="137">
        <v>13.0</v>
      </c>
      <c r="G291" s="137">
        <v>4.0</v>
      </c>
      <c r="H291" s="137">
        <v>9.0</v>
      </c>
      <c r="I291" s="137">
        <v>13.0</v>
      </c>
      <c r="J291" s="137">
        <v>5.0</v>
      </c>
      <c r="K291" s="137">
        <v>8.0</v>
      </c>
      <c r="L291" s="137">
        <v>17.0</v>
      </c>
      <c r="M291" s="137">
        <v>17.0</v>
      </c>
    </row>
    <row r="292">
      <c r="A292" s="137">
        <v>5674.0</v>
      </c>
      <c r="B292" s="136" t="s">
        <v>1127</v>
      </c>
      <c r="C292" s="136" t="s">
        <v>1127</v>
      </c>
      <c r="D292" s="136" t="s">
        <v>1306</v>
      </c>
      <c r="E292" s="136" t="s">
        <v>1157</v>
      </c>
      <c r="F292" s="137">
        <v>13.0</v>
      </c>
      <c r="G292" s="137">
        <v>1.0</v>
      </c>
      <c r="H292" s="137">
        <v>12.0</v>
      </c>
      <c r="I292" s="137">
        <v>13.0</v>
      </c>
      <c r="J292" s="137">
        <v>1.0</v>
      </c>
      <c r="K292" s="137">
        <v>12.0</v>
      </c>
      <c r="L292" s="137">
        <v>24.0</v>
      </c>
      <c r="M292" s="137">
        <v>24.0</v>
      </c>
    </row>
    <row r="293">
      <c r="A293" s="137">
        <v>5504.0</v>
      </c>
      <c r="B293" s="136" t="s">
        <v>1127</v>
      </c>
      <c r="C293" s="136" t="s">
        <v>1294</v>
      </c>
      <c r="D293" s="136" t="s">
        <v>1103</v>
      </c>
      <c r="E293" s="136" t="s">
        <v>1159</v>
      </c>
      <c r="F293" s="137">
        <v>13.0</v>
      </c>
      <c r="G293" s="137">
        <v>7.0</v>
      </c>
      <c r="H293" s="137">
        <v>6.0</v>
      </c>
      <c r="I293" s="137">
        <v>13.0</v>
      </c>
      <c r="J293" s="137">
        <v>8.0</v>
      </c>
      <c r="K293" s="137">
        <v>5.0</v>
      </c>
      <c r="L293" s="137">
        <v>21.0</v>
      </c>
      <c r="M293" s="137">
        <v>26.0</v>
      </c>
    </row>
    <row r="294">
      <c r="A294" s="137">
        <v>5453.0</v>
      </c>
      <c r="B294" s="136" t="s">
        <v>1127</v>
      </c>
      <c r="C294" s="136" t="s">
        <v>1294</v>
      </c>
      <c r="D294" s="136" t="s">
        <v>631</v>
      </c>
      <c r="E294" s="136" t="s">
        <v>1152</v>
      </c>
      <c r="F294" s="137">
        <v>13.0</v>
      </c>
      <c r="G294" s="137">
        <v>10.0</v>
      </c>
      <c r="H294" s="137">
        <v>3.0</v>
      </c>
      <c r="I294" s="137">
        <v>14.0</v>
      </c>
      <c r="J294" s="137">
        <v>11.0</v>
      </c>
      <c r="K294" s="137">
        <v>3.0</v>
      </c>
      <c r="L294" s="137">
        <v>13.0</v>
      </c>
      <c r="M294" s="137">
        <v>16.0</v>
      </c>
    </row>
    <row r="295">
      <c r="A295" s="137">
        <v>7314.0</v>
      </c>
      <c r="B295" s="136" t="s">
        <v>1127</v>
      </c>
      <c r="C295" s="136" t="s">
        <v>1295</v>
      </c>
      <c r="D295" s="136" t="s">
        <v>1307</v>
      </c>
      <c r="E295" s="136" t="s">
        <v>1157</v>
      </c>
      <c r="F295" s="137">
        <v>13.0</v>
      </c>
      <c r="G295" s="137">
        <v>14.0</v>
      </c>
      <c r="H295" s="137">
        <v>-1.0</v>
      </c>
      <c r="I295" s="137">
        <v>13.0</v>
      </c>
      <c r="J295" s="137">
        <v>14.0</v>
      </c>
      <c r="K295" s="137">
        <v>-1.0</v>
      </c>
      <c r="L295" s="137">
        <v>35.0</v>
      </c>
      <c r="M295" s="137">
        <v>35.0</v>
      </c>
    </row>
    <row r="296">
      <c r="A296" s="137">
        <v>6640.0</v>
      </c>
      <c r="B296" s="136" t="s">
        <v>1127</v>
      </c>
      <c r="C296" s="136" t="s">
        <v>1308</v>
      </c>
      <c r="D296" s="136" t="s">
        <v>957</v>
      </c>
      <c r="E296" s="136" t="s">
        <v>1162</v>
      </c>
      <c r="F296" s="137">
        <v>12.0</v>
      </c>
      <c r="G296" s="137">
        <v>6.0</v>
      </c>
      <c r="H296" s="137">
        <v>6.0</v>
      </c>
      <c r="I296" s="137">
        <v>11.0</v>
      </c>
      <c r="J296" s="137">
        <v>5.0</v>
      </c>
      <c r="K296" s="137">
        <v>6.0</v>
      </c>
      <c r="L296" s="137">
        <v>10.0</v>
      </c>
      <c r="M296" s="137">
        <v>10.0</v>
      </c>
    </row>
    <row r="297">
      <c r="A297" s="137">
        <v>333.0</v>
      </c>
      <c r="B297" s="136" t="s">
        <v>1127</v>
      </c>
      <c r="C297" s="136" t="s">
        <v>1294</v>
      </c>
      <c r="D297" s="136" t="s">
        <v>1309</v>
      </c>
      <c r="E297" s="136" t="s">
        <v>1157</v>
      </c>
      <c r="F297" s="137">
        <v>12.0</v>
      </c>
      <c r="G297" s="137">
        <v>5.0</v>
      </c>
      <c r="H297" s="137">
        <v>7.0</v>
      </c>
      <c r="I297" s="137">
        <v>12.0</v>
      </c>
      <c r="J297" s="137">
        <v>5.0</v>
      </c>
      <c r="K297" s="137">
        <v>7.0</v>
      </c>
      <c r="L297" s="137">
        <v>23.0</v>
      </c>
      <c r="M297" s="137">
        <v>28.0</v>
      </c>
    </row>
    <row r="298">
      <c r="A298" s="137">
        <v>6015.0</v>
      </c>
      <c r="B298" s="136" t="s">
        <v>1127</v>
      </c>
      <c r="C298" s="136" t="s">
        <v>1295</v>
      </c>
      <c r="D298" s="136" t="s">
        <v>1310</v>
      </c>
      <c r="E298" s="136" t="s">
        <v>1159</v>
      </c>
      <c r="F298" s="137">
        <v>12.0</v>
      </c>
      <c r="G298" s="137">
        <v>3.0</v>
      </c>
      <c r="H298" s="137">
        <v>9.0</v>
      </c>
      <c r="I298" s="137">
        <v>12.0</v>
      </c>
      <c r="J298" s="137">
        <v>3.0</v>
      </c>
      <c r="K298" s="137">
        <v>9.0</v>
      </c>
      <c r="L298" s="137">
        <v>22.0</v>
      </c>
      <c r="M298" s="137">
        <v>22.0</v>
      </c>
    </row>
    <row r="299">
      <c r="A299" s="137">
        <v>4199.0</v>
      </c>
      <c r="B299" s="136" t="s">
        <v>1127</v>
      </c>
      <c r="C299" s="136" t="s">
        <v>1295</v>
      </c>
      <c r="D299" s="136" t="s">
        <v>829</v>
      </c>
      <c r="E299" s="136" t="s">
        <v>1152</v>
      </c>
      <c r="F299" s="137">
        <v>12.0</v>
      </c>
      <c r="G299" s="137">
        <v>8.0</v>
      </c>
      <c r="H299" s="137">
        <v>4.0</v>
      </c>
      <c r="I299" s="137">
        <v>12.0</v>
      </c>
      <c r="J299" s="137">
        <v>8.0</v>
      </c>
      <c r="K299" s="137">
        <v>4.0</v>
      </c>
      <c r="L299" s="137">
        <v>16.0</v>
      </c>
      <c r="M299" s="137">
        <v>16.0</v>
      </c>
    </row>
    <row r="300">
      <c r="A300" s="137">
        <v>779.0</v>
      </c>
      <c r="B300" s="136" t="s">
        <v>1127</v>
      </c>
      <c r="C300" s="136" t="s">
        <v>1294</v>
      </c>
      <c r="D300" s="136" t="s">
        <v>630</v>
      </c>
      <c r="E300" s="136" t="s">
        <v>1153</v>
      </c>
      <c r="F300" s="137">
        <v>12.0</v>
      </c>
      <c r="G300" s="137">
        <v>9.0</v>
      </c>
      <c r="H300" s="137">
        <v>3.0</v>
      </c>
      <c r="I300" s="137">
        <v>12.0</v>
      </c>
      <c r="J300" s="137">
        <v>9.0</v>
      </c>
      <c r="K300" s="137">
        <v>3.0</v>
      </c>
      <c r="L300" s="137">
        <v>29.0</v>
      </c>
      <c r="M300" s="137">
        <v>34.0</v>
      </c>
    </row>
    <row r="301">
      <c r="A301" s="137">
        <v>5844.0</v>
      </c>
      <c r="B301" s="136" t="s">
        <v>1127</v>
      </c>
      <c r="C301" s="136" t="s">
        <v>1295</v>
      </c>
      <c r="D301" s="136" t="s">
        <v>1054</v>
      </c>
      <c r="E301" s="136" t="s">
        <v>1164</v>
      </c>
      <c r="F301" s="137">
        <v>12.0</v>
      </c>
      <c r="G301" s="137">
        <v>8.0</v>
      </c>
      <c r="H301" s="137">
        <v>4.0</v>
      </c>
      <c r="I301" s="137">
        <v>12.0</v>
      </c>
      <c r="J301" s="137">
        <v>8.0</v>
      </c>
      <c r="K301" s="137">
        <v>4.0</v>
      </c>
      <c r="L301" s="137">
        <v>25.0</v>
      </c>
      <c r="M301" s="137">
        <v>25.0</v>
      </c>
    </row>
    <row r="302">
      <c r="A302" s="137">
        <v>5735.0</v>
      </c>
      <c r="B302" s="136" t="s">
        <v>1127</v>
      </c>
      <c r="C302" s="136" t="s">
        <v>1305</v>
      </c>
      <c r="D302" s="136" t="s">
        <v>1311</v>
      </c>
      <c r="E302" s="136" t="s">
        <v>1164</v>
      </c>
      <c r="F302" s="137">
        <v>12.0</v>
      </c>
      <c r="G302" s="137">
        <v>5.0</v>
      </c>
      <c r="H302" s="137">
        <v>7.0</v>
      </c>
      <c r="I302" s="137">
        <v>12.0</v>
      </c>
      <c r="J302" s="137">
        <v>5.0</v>
      </c>
      <c r="K302" s="137">
        <v>7.0</v>
      </c>
      <c r="L302" s="137">
        <v>16.0</v>
      </c>
      <c r="M302" s="137">
        <v>19.0</v>
      </c>
    </row>
    <row r="303">
      <c r="A303" s="137">
        <v>6684.0</v>
      </c>
      <c r="B303" s="136" t="s">
        <v>1127</v>
      </c>
      <c r="C303" s="136" t="s">
        <v>1295</v>
      </c>
      <c r="D303" s="136" t="s">
        <v>1000</v>
      </c>
      <c r="E303" s="136" t="s">
        <v>1168</v>
      </c>
      <c r="F303" s="137">
        <v>12.0</v>
      </c>
      <c r="G303" s="137">
        <v>10.0</v>
      </c>
      <c r="H303" s="137">
        <v>2.0</v>
      </c>
      <c r="I303" s="137">
        <v>12.0</v>
      </c>
      <c r="J303" s="137">
        <v>10.0</v>
      </c>
      <c r="K303" s="137">
        <v>2.0</v>
      </c>
      <c r="L303" s="137">
        <v>18.0</v>
      </c>
      <c r="M303" s="137">
        <v>18.0</v>
      </c>
    </row>
    <row r="304">
      <c r="A304" s="137">
        <v>2839.0</v>
      </c>
      <c r="B304" s="136" t="s">
        <v>1127</v>
      </c>
      <c r="C304" s="136" t="s">
        <v>1296</v>
      </c>
      <c r="D304" s="136" t="s">
        <v>620</v>
      </c>
      <c r="E304" s="136" t="s">
        <v>1159</v>
      </c>
      <c r="F304" s="137">
        <v>12.0</v>
      </c>
      <c r="G304" s="137">
        <v>11.0</v>
      </c>
      <c r="H304" s="137">
        <v>1.0</v>
      </c>
      <c r="I304" s="137">
        <v>11.0</v>
      </c>
      <c r="J304" s="137">
        <v>10.0</v>
      </c>
      <c r="K304" s="137">
        <v>1.0</v>
      </c>
      <c r="L304" s="137">
        <v>17.0</v>
      </c>
      <c r="M304" s="137">
        <v>17.0</v>
      </c>
    </row>
    <row r="305">
      <c r="A305" s="137">
        <v>5298.0</v>
      </c>
      <c r="B305" s="136" t="s">
        <v>1127</v>
      </c>
      <c r="C305" s="136" t="s">
        <v>1294</v>
      </c>
      <c r="D305" s="136" t="s">
        <v>633</v>
      </c>
      <c r="E305" s="136" t="s">
        <v>1169</v>
      </c>
      <c r="F305" s="137">
        <v>11.0</v>
      </c>
      <c r="G305" s="137">
        <v>8.0</v>
      </c>
      <c r="H305" s="137">
        <v>3.0</v>
      </c>
      <c r="I305" s="137">
        <v>11.0</v>
      </c>
      <c r="J305" s="137">
        <v>9.0</v>
      </c>
      <c r="K305" s="137">
        <v>2.0</v>
      </c>
      <c r="L305" s="137">
        <v>16.0</v>
      </c>
      <c r="M305" s="137">
        <v>21.0</v>
      </c>
    </row>
    <row r="306">
      <c r="A306" s="137">
        <v>6020.0</v>
      </c>
      <c r="B306" s="136" t="s">
        <v>1127</v>
      </c>
      <c r="C306" s="136" t="s">
        <v>1312</v>
      </c>
      <c r="D306" s="136" t="s">
        <v>1095</v>
      </c>
      <c r="E306" s="136" t="s">
        <v>1170</v>
      </c>
      <c r="F306" s="137">
        <v>11.0</v>
      </c>
      <c r="G306" s="137">
        <v>5.0</v>
      </c>
      <c r="H306" s="137">
        <v>6.0</v>
      </c>
      <c r="I306" s="137">
        <v>11.0</v>
      </c>
      <c r="J306" s="137">
        <v>5.0</v>
      </c>
      <c r="K306" s="137">
        <v>6.0</v>
      </c>
      <c r="L306" s="137">
        <v>14.0</v>
      </c>
      <c r="M306" s="137">
        <v>16.0</v>
      </c>
    </row>
    <row r="307">
      <c r="A307" s="137">
        <v>7070.0</v>
      </c>
      <c r="B307" s="136" t="s">
        <v>1127</v>
      </c>
      <c r="C307" s="136" t="s">
        <v>1127</v>
      </c>
      <c r="D307" s="136" t="s">
        <v>1047</v>
      </c>
      <c r="E307" s="136" t="s">
        <v>1161</v>
      </c>
      <c r="F307" s="137">
        <v>11.0</v>
      </c>
      <c r="G307" s="137">
        <v>9.0</v>
      </c>
      <c r="H307" s="137">
        <v>2.0</v>
      </c>
      <c r="I307" s="137">
        <v>11.0</v>
      </c>
      <c r="J307" s="137">
        <v>9.0</v>
      </c>
      <c r="K307" s="137">
        <v>2.0</v>
      </c>
      <c r="L307" s="137">
        <v>18.0</v>
      </c>
      <c r="M307" s="137">
        <v>18.0</v>
      </c>
    </row>
    <row r="308">
      <c r="A308" s="137">
        <v>2334.0</v>
      </c>
      <c r="B308" s="136" t="s">
        <v>1127</v>
      </c>
      <c r="C308" s="136" t="s">
        <v>1308</v>
      </c>
      <c r="D308" s="136" t="s">
        <v>1313</v>
      </c>
      <c r="E308" s="136" t="s">
        <v>1172</v>
      </c>
      <c r="F308" s="137">
        <v>11.0</v>
      </c>
      <c r="G308" s="137">
        <v>2.0</v>
      </c>
      <c r="H308" s="137">
        <v>9.0</v>
      </c>
      <c r="I308" s="137">
        <v>11.0</v>
      </c>
      <c r="J308" s="137">
        <v>2.0</v>
      </c>
      <c r="K308" s="137">
        <v>9.0</v>
      </c>
      <c r="L308" s="137">
        <v>10.0</v>
      </c>
      <c r="M308" s="137">
        <v>10.0</v>
      </c>
    </row>
    <row r="309">
      <c r="A309" s="137">
        <v>6815.0</v>
      </c>
      <c r="B309" s="136" t="s">
        <v>1127</v>
      </c>
      <c r="C309" s="136" t="s">
        <v>1308</v>
      </c>
      <c r="D309" s="136" t="s">
        <v>1056</v>
      </c>
      <c r="E309" s="136" t="s">
        <v>1164</v>
      </c>
      <c r="F309" s="137">
        <v>11.0</v>
      </c>
      <c r="G309" s="137">
        <v>6.0</v>
      </c>
      <c r="H309" s="137">
        <v>5.0</v>
      </c>
      <c r="I309" s="137">
        <v>11.0</v>
      </c>
      <c r="J309" s="137">
        <v>5.0</v>
      </c>
      <c r="K309" s="137">
        <v>6.0</v>
      </c>
      <c r="L309" s="137">
        <v>17.0</v>
      </c>
      <c r="M309" s="137">
        <v>15.0</v>
      </c>
    </row>
    <row r="310">
      <c r="A310" s="137">
        <v>6458.0</v>
      </c>
      <c r="B310" s="136" t="s">
        <v>1127</v>
      </c>
      <c r="C310" s="136" t="s">
        <v>1127</v>
      </c>
      <c r="D310" s="136" t="s">
        <v>1086</v>
      </c>
      <c r="E310" s="136" t="s">
        <v>1173</v>
      </c>
      <c r="F310" s="137">
        <v>11.0</v>
      </c>
      <c r="G310" s="137">
        <v>5.0</v>
      </c>
      <c r="H310" s="137">
        <v>6.0</v>
      </c>
      <c r="I310" s="137">
        <v>11.0</v>
      </c>
      <c r="J310" s="137">
        <v>5.0</v>
      </c>
      <c r="K310" s="137">
        <v>6.0</v>
      </c>
      <c r="L310" s="137">
        <v>16.0</v>
      </c>
      <c r="M310" s="137">
        <v>16.0</v>
      </c>
    </row>
    <row r="311">
      <c r="A311" s="137">
        <v>1976.0</v>
      </c>
      <c r="B311" s="136" t="s">
        <v>1127</v>
      </c>
      <c r="C311" s="136" t="s">
        <v>1294</v>
      </c>
      <c r="D311" s="136" t="s">
        <v>835</v>
      </c>
      <c r="E311" s="136" t="s">
        <v>1162</v>
      </c>
      <c r="F311" s="137">
        <v>11.0</v>
      </c>
      <c r="G311" s="137">
        <v>5.0</v>
      </c>
      <c r="H311" s="137">
        <v>6.0</v>
      </c>
      <c r="I311" s="137">
        <v>11.0</v>
      </c>
      <c r="J311" s="137">
        <v>5.0</v>
      </c>
      <c r="K311" s="137">
        <v>6.0</v>
      </c>
      <c r="L311" s="137">
        <v>17.0</v>
      </c>
      <c r="M311" s="137">
        <v>22.0</v>
      </c>
    </row>
    <row r="312">
      <c r="A312" s="137">
        <v>22.0</v>
      </c>
      <c r="B312" s="136" t="s">
        <v>1127</v>
      </c>
      <c r="C312" s="136" t="s">
        <v>1294</v>
      </c>
      <c r="D312" s="136" t="s">
        <v>614</v>
      </c>
      <c r="E312" s="136" t="s">
        <v>1154</v>
      </c>
      <c r="F312" s="137">
        <v>10.0</v>
      </c>
      <c r="G312" s="137">
        <v>12.0</v>
      </c>
      <c r="H312" s="137">
        <v>-2.0</v>
      </c>
      <c r="I312" s="137">
        <v>10.0</v>
      </c>
      <c r="J312" s="137">
        <v>13.0</v>
      </c>
      <c r="K312" s="137">
        <v>-3.0</v>
      </c>
      <c r="L312" s="137">
        <v>35.0</v>
      </c>
      <c r="M312" s="137">
        <v>40.0</v>
      </c>
    </row>
    <row r="313">
      <c r="A313" s="137">
        <v>5792.0</v>
      </c>
      <c r="B313" s="136" t="s">
        <v>1127</v>
      </c>
      <c r="C313" s="136" t="s">
        <v>1294</v>
      </c>
      <c r="D313" s="136" t="s">
        <v>1088</v>
      </c>
      <c r="E313" s="136" t="s">
        <v>1154</v>
      </c>
      <c r="F313" s="137">
        <v>10.0</v>
      </c>
      <c r="G313" s="137">
        <v>15.0</v>
      </c>
      <c r="H313" s="137">
        <v>-5.0</v>
      </c>
      <c r="I313" s="137">
        <v>10.0</v>
      </c>
      <c r="J313" s="137">
        <v>16.0</v>
      </c>
      <c r="K313" s="137">
        <v>-6.0</v>
      </c>
      <c r="L313" s="137">
        <v>31.0</v>
      </c>
      <c r="M313" s="137">
        <v>36.0</v>
      </c>
    </row>
    <row r="314">
      <c r="A314" s="137">
        <v>4947.0</v>
      </c>
      <c r="B314" s="136" t="s">
        <v>1127</v>
      </c>
      <c r="C314" s="136" t="s">
        <v>1295</v>
      </c>
      <c r="D314" s="136" t="s">
        <v>946</v>
      </c>
      <c r="E314" s="136" t="s">
        <v>1165</v>
      </c>
      <c r="F314" s="137">
        <v>10.0</v>
      </c>
      <c r="G314" s="137">
        <v>8.0</v>
      </c>
      <c r="H314" s="137">
        <v>2.0</v>
      </c>
      <c r="I314" s="137">
        <v>10.0</v>
      </c>
      <c r="J314" s="137">
        <v>8.0</v>
      </c>
      <c r="K314" s="137">
        <v>2.0</v>
      </c>
      <c r="L314" s="137">
        <v>25.0</v>
      </c>
      <c r="M314" s="137">
        <v>25.0</v>
      </c>
    </row>
    <row r="315">
      <c r="A315" s="137">
        <v>5119.0</v>
      </c>
      <c r="B315" s="136" t="s">
        <v>1127</v>
      </c>
      <c r="C315" s="136" t="s">
        <v>1297</v>
      </c>
      <c r="D315" s="136" t="s">
        <v>624</v>
      </c>
      <c r="E315" s="136" t="s">
        <v>1154</v>
      </c>
      <c r="F315" s="137">
        <v>10.0</v>
      </c>
      <c r="G315" s="137">
        <v>12.0</v>
      </c>
      <c r="H315" s="137">
        <v>-2.0</v>
      </c>
      <c r="I315" s="137">
        <v>10.0</v>
      </c>
      <c r="J315" s="137">
        <v>11.0</v>
      </c>
      <c r="K315" s="137">
        <v>-1.0</v>
      </c>
      <c r="L315" s="137">
        <v>10.0</v>
      </c>
      <c r="M315" s="137">
        <v>10.0</v>
      </c>
    </row>
    <row r="316">
      <c r="A316" s="137">
        <v>4486.0</v>
      </c>
      <c r="B316" s="136" t="s">
        <v>1127</v>
      </c>
      <c r="C316" s="136" t="s">
        <v>1296</v>
      </c>
      <c r="D316" s="136" t="s">
        <v>737</v>
      </c>
      <c r="E316" s="136" t="s">
        <v>1167</v>
      </c>
      <c r="F316" s="137">
        <v>10.0</v>
      </c>
      <c r="G316" s="137">
        <v>14.0</v>
      </c>
      <c r="H316" s="137">
        <v>-4.0</v>
      </c>
      <c r="I316" s="137">
        <v>9.0</v>
      </c>
      <c r="J316" s="137">
        <v>13.0</v>
      </c>
      <c r="K316" s="137">
        <v>-4.0</v>
      </c>
      <c r="L316" s="137">
        <v>30.0</v>
      </c>
      <c r="M316" s="137">
        <v>28.0</v>
      </c>
    </row>
    <row r="317">
      <c r="A317" s="137">
        <v>2529.0</v>
      </c>
      <c r="B317" s="136" t="s">
        <v>1127</v>
      </c>
      <c r="C317" s="136" t="s">
        <v>1295</v>
      </c>
      <c r="D317" s="136" t="s">
        <v>613</v>
      </c>
      <c r="E317" s="136" t="s">
        <v>1161</v>
      </c>
      <c r="F317" s="137">
        <v>10.0</v>
      </c>
      <c r="G317" s="137">
        <v>9.0</v>
      </c>
      <c r="H317" s="137">
        <v>1.0</v>
      </c>
      <c r="I317" s="137">
        <v>10.0</v>
      </c>
      <c r="J317" s="137">
        <v>9.0</v>
      </c>
      <c r="K317" s="137">
        <v>1.0</v>
      </c>
      <c r="L317" s="137">
        <v>20.0</v>
      </c>
      <c r="M317" s="137">
        <v>20.0</v>
      </c>
    </row>
    <row r="318">
      <c r="A318" s="137">
        <v>5813.0</v>
      </c>
      <c r="B318" s="136" t="s">
        <v>1127</v>
      </c>
      <c r="C318" s="136" t="s">
        <v>1295</v>
      </c>
      <c r="D318" s="136" t="s">
        <v>628</v>
      </c>
      <c r="E318" s="136" t="s">
        <v>1158</v>
      </c>
      <c r="F318" s="137">
        <v>10.0</v>
      </c>
      <c r="G318" s="137">
        <v>5.0</v>
      </c>
      <c r="H318" s="137">
        <v>5.0</v>
      </c>
      <c r="I318" s="137">
        <v>10.0</v>
      </c>
      <c r="J318" s="137">
        <v>5.0</v>
      </c>
      <c r="K318" s="137">
        <v>5.0</v>
      </c>
      <c r="L318" s="137">
        <v>27.0</v>
      </c>
      <c r="M318" s="137">
        <v>27.0</v>
      </c>
    </row>
    <row r="319">
      <c r="A319" s="137">
        <v>4686.0</v>
      </c>
      <c r="B319" s="136" t="s">
        <v>1127</v>
      </c>
      <c r="C319" s="136" t="s">
        <v>1294</v>
      </c>
      <c r="D319" s="136" t="s">
        <v>1057</v>
      </c>
      <c r="E319" s="136" t="s">
        <v>1152</v>
      </c>
      <c r="F319" s="137">
        <v>10.0</v>
      </c>
      <c r="G319" s="137">
        <v>11.0</v>
      </c>
      <c r="H319" s="137">
        <v>-1.0</v>
      </c>
      <c r="I319" s="137">
        <v>10.0</v>
      </c>
      <c r="J319" s="137">
        <v>12.0</v>
      </c>
      <c r="K319" s="137">
        <v>-2.0</v>
      </c>
      <c r="L319" s="137">
        <v>27.0</v>
      </c>
      <c r="M319" s="137">
        <v>32.0</v>
      </c>
    </row>
    <row r="320">
      <c r="A320" s="137">
        <v>4287.0</v>
      </c>
      <c r="B320" s="136" t="s">
        <v>1127</v>
      </c>
      <c r="C320" s="136" t="s">
        <v>1294</v>
      </c>
      <c r="D320" s="136" t="s">
        <v>743</v>
      </c>
      <c r="E320" s="136" t="s">
        <v>1155</v>
      </c>
      <c r="F320" s="137">
        <v>10.0</v>
      </c>
      <c r="G320" s="137">
        <v>9.0</v>
      </c>
      <c r="H320" s="137">
        <v>1.0</v>
      </c>
      <c r="I320" s="137">
        <v>10.0</v>
      </c>
      <c r="J320" s="137">
        <v>10.0</v>
      </c>
      <c r="K320" s="137">
        <v>0.0</v>
      </c>
      <c r="L320" s="137">
        <v>25.0</v>
      </c>
      <c r="M320" s="137">
        <v>30.0</v>
      </c>
    </row>
    <row r="321">
      <c r="A321" s="137">
        <v>536.0</v>
      </c>
      <c r="B321" s="136" t="s">
        <v>1127</v>
      </c>
      <c r="C321" s="136" t="s">
        <v>1308</v>
      </c>
      <c r="D321" s="136" t="s">
        <v>763</v>
      </c>
      <c r="E321" s="136" t="s">
        <v>1155</v>
      </c>
      <c r="F321" s="137">
        <v>10.0</v>
      </c>
      <c r="G321" s="137">
        <v>15.0</v>
      </c>
      <c r="H321" s="137">
        <v>-5.0</v>
      </c>
      <c r="I321" s="137">
        <v>11.0</v>
      </c>
      <c r="J321" s="137">
        <v>14.0</v>
      </c>
      <c r="K321" s="137">
        <v>-3.0</v>
      </c>
      <c r="L321" s="137">
        <v>21.0</v>
      </c>
      <c r="M321" s="137">
        <v>21.0</v>
      </c>
    </row>
    <row r="322">
      <c r="A322" s="137">
        <v>7146.0</v>
      </c>
      <c r="B322" s="136" t="s">
        <v>1127</v>
      </c>
      <c r="C322" s="136" t="s">
        <v>1314</v>
      </c>
      <c r="D322" s="136" t="s">
        <v>1099</v>
      </c>
      <c r="E322" s="136" t="s">
        <v>1172</v>
      </c>
      <c r="F322" s="137">
        <v>10.0</v>
      </c>
      <c r="G322" s="137">
        <v>6.0</v>
      </c>
      <c r="H322" s="137">
        <v>4.0</v>
      </c>
      <c r="I322" s="137">
        <v>10.0</v>
      </c>
      <c r="J322" s="137">
        <v>7.0</v>
      </c>
      <c r="K322" s="137">
        <v>3.0</v>
      </c>
      <c r="L322" s="137">
        <v>25.0</v>
      </c>
      <c r="M322" s="137">
        <v>30.0</v>
      </c>
    </row>
    <row r="323">
      <c r="A323" s="137">
        <v>5318.0</v>
      </c>
      <c r="B323" s="136" t="s">
        <v>1127</v>
      </c>
      <c r="C323" s="136" t="s">
        <v>1305</v>
      </c>
      <c r="D323" s="136" t="s">
        <v>1046</v>
      </c>
      <c r="E323" s="136" t="s">
        <v>1172</v>
      </c>
      <c r="F323" s="137">
        <v>10.0</v>
      </c>
      <c r="G323" s="137">
        <v>12.0</v>
      </c>
      <c r="H323" s="137">
        <v>-2.0</v>
      </c>
      <c r="I323" s="137">
        <v>10.0</v>
      </c>
      <c r="J323" s="137">
        <v>12.0</v>
      </c>
      <c r="K323" s="137">
        <v>-2.0</v>
      </c>
      <c r="L323" s="137">
        <v>24.0</v>
      </c>
      <c r="M323" s="137">
        <v>26.0</v>
      </c>
    </row>
    <row r="324">
      <c r="A324" s="137">
        <v>6680.0</v>
      </c>
      <c r="B324" s="136" t="s">
        <v>1127</v>
      </c>
      <c r="C324" s="136" t="s">
        <v>1294</v>
      </c>
      <c r="D324" s="136" t="s">
        <v>1315</v>
      </c>
      <c r="E324" s="136" t="s">
        <v>1168</v>
      </c>
      <c r="F324" s="137">
        <v>10.0</v>
      </c>
      <c r="G324" s="137">
        <v>6.0</v>
      </c>
      <c r="H324" s="137">
        <v>4.0</v>
      </c>
      <c r="I324" s="137">
        <v>10.0</v>
      </c>
      <c r="J324" s="137">
        <v>6.0</v>
      </c>
      <c r="K324" s="137">
        <v>4.0</v>
      </c>
      <c r="L324" s="137">
        <v>18.0</v>
      </c>
      <c r="M324" s="137">
        <v>23.0</v>
      </c>
    </row>
    <row r="325">
      <c r="A325" s="137">
        <v>2528.0</v>
      </c>
      <c r="B325" s="136" t="s">
        <v>1127</v>
      </c>
      <c r="C325" s="136" t="s">
        <v>1294</v>
      </c>
      <c r="D325" s="136" t="s">
        <v>1316</v>
      </c>
      <c r="E325" s="136" t="s">
        <v>1164</v>
      </c>
      <c r="F325" s="137">
        <v>10.0</v>
      </c>
      <c r="G325" s="137">
        <v>4.0</v>
      </c>
      <c r="H325" s="137">
        <v>6.0</v>
      </c>
      <c r="I325" s="137">
        <v>11.0</v>
      </c>
      <c r="J325" s="137">
        <v>5.0</v>
      </c>
      <c r="K325" s="137">
        <v>6.0</v>
      </c>
      <c r="L325" s="137">
        <v>17.0</v>
      </c>
      <c r="M325" s="137">
        <v>22.0</v>
      </c>
    </row>
    <row r="326">
      <c r="A326" s="137">
        <v>5651.0</v>
      </c>
      <c r="B326" s="136" t="s">
        <v>1127</v>
      </c>
      <c r="C326" s="136" t="s">
        <v>1308</v>
      </c>
      <c r="D326" s="136" t="s">
        <v>1317</v>
      </c>
      <c r="E326" s="136" t="s">
        <v>1165</v>
      </c>
      <c r="F326" s="137">
        <v>10.0</v>
      </c>
      <c r="G326" s="137">
        <v>10.0</v>
      </c>
      <c r="H326" s="137">
        <v>0.0</v>
      </c>
      <c r="I326" s="137">
        <v>10.0</v>
      </c>
      <c r="J326" s="137">
        <v>10.0</v>
      </c>
      <c r="K326" s="137">
        <v>0.0</v>
      </c>
      <c r="L326" s="137">
        <v>20.0</v>
      </c>
      <c r="M326" s="137">
        <v>20.0</v>
      </c>
    </row>
    <row r="327">
      <c r="A327" s="137">
        <v>5791.0</v>
      </c>
      <c r="B327" s="136" t="s">
        <v>1127</v>
      </c>
      <c r="C327" s="136" t="s">
        <v>1294</v>
      </c>
      <c r="D327" s="136" t="s">
        <v>897</v>
      </c>
      <c r="E327" s="136" t="s">
        <v>1170</v>
      </c>
      <c r="F327" s="137">
        <v>9.0</v>
      </c>
      <c r="G327" s="137">
        <v>9.0</v>
      </c>
      <c r="H327" s="137">
        <v>0.0</v>
      </c>
      <c r="I327" s="137">
        <v>10.0</v>
      </c>
      <c r="J327" s="137">
        <v>10.0</v>
      </c>
      <c r="K327" s="137">
        <v>0.0</v>
      </c>
      <c r="L327" s="137">
        <v>23.0</v>
      </c>
      <c r="M327" s="137">
        <v>28.0</v>
      </c>
    </row>
    <row r="328">
      <c r="A328" s="137">
        <v>7028.0</v>
      </c>
      <c r="B328" s="136" t="s">
        <v>1127</v>
      </c>
      <c r="C328" s="136" t="s">
        <v>1127</v>
      </c>
      <c r="D328" s="136" t="s">
        <v>1318</v>
      </c>
      <c r="E328" s="136" t="s">
        <v>1173</v>
      </c>
      <c r="F328" s="137">
        <v>9.0</v>
      </c>
      <c r="G328" s="137">
        <v>4.0</v>
      </c>
      <c r="H328" s="137">
        <v>5.0</v>
      </c>
      <c r="I328" s="137">
        <v>9.0</v>
      </c>
      <c r="J328" s="137">
        <v>4.0</v>
      </c>
      <c r="K328" s="137">
        <v>5.0</v>
      </c>
      <c r="L328" s="137">
        <v>15.0</v>
      </c>
      <c r="M328" s="137">
        <v>15.0</v>
      </c>
    </row>
    <row r="329">
      <c r="A329" s="137">
        <v>5761.0</v>
      </c>
      <c r="B329" s="136" t="s">
        <v>1127</v>
      </c>
      <c r="C329" s="136" t="s">
        <v>1308</v>
      </c>
      <c r="D329" s="136" t="s">
        <v>1043</v>
      </c>
      <c r="E329" s="136" t="s">
        <v>1158</v>
      </c>
      <c r="F329" s="137">
        <v>9.0</v>
      </c>
      <c r="G329" s="137">
        <v>19.0</v>
      </c>
      <c r="H329" s="137">
        <v>-10.0</v>
      </c>
      <c r="I329" s="137">
        <v>9.0</v>
      </c>
      <c r="J329" s="137">
        <v>19.0</v>
      </c>
      <c r="K329" s="137">
        <v>-10.0</v>
      </c>
      <c r="L329" s="137">
        <v>15.0</v>
      </c>
      <c r="M329" s="137">
        <v>15.0</v>
      </c>
    </row>
    <row r="330">
      <c r="A330" s="137">
        <v>6054.0</v>
      </c>
      <c r="B330" s="136" t="s">
        <v>1127</v>
      </c>
      <c r="C330" s="136" t="s">
        <v>1294</v>
      </c>
      <c r="D330" s="136" t="s">
        <v>1319</v>
      </c>
      <c r="E330" s="136" t="s">
        <v>1169</v>
      </c>
      <c r="F330" s="137">
        <v>8.0</v>
      </c>
      <c r="G330" s="137">
        <v>3.0</v>
      </c>
      <c r="H330" s="137">
        <v>5.0</v>
      </c>
      <c r="I330" s="137">
        <v>8.0</v>
      </c>
      <c r="J330" s="137">
        <v>3.0</v>
      </c>
      <c r="K330" s="137">
        <v>5.0</v>
      </c>
      <c r="L330" s="137">
        <v>11.0</v>
      </c>
      <c r="M330" s="137">
        <v>16.0</v>
      </c>
    </row>
    <row r="331">
      <c r="A331" s="137">
        <v>6206.0</v>
      </c>
      <c r="B331" s="136" t="s">
        <v>1127</v>
      </c>
      <c r="C331" s="136" t="s">
        <v>1295</v>
      </c>
      <c r="D331" s="136" t="s">
        <v>943</v>
      </c>
      <c r="E331" s="136" t="s">
        <v>1165</v>
      </c>
      <c r="F331" s="137">
        <v>8.0</v>
      </c>
      <c r="G331" s="137">
        <v>10.0</v>
      </c>
      <c r="H331" s="137">
        <v>-2.0</v>
      </c>
      <c r="I331" s="137">
        <v>8.0</v>
      </c>
      <c r="J331" s="137">
        <v>10.0</v>
      </c>
      <c r="K331" s="137">
        <v>-2.0</v>
      </c>
      <c r="L331" s="137">
        <v>16.0</v>
      </c>
      <c r="M331" s="137">
        <v>16.0</v>
      </c>
    </row>
    <row r="332">
      <c r="A332" s="137">
        <v>6252.0</v>
      </c>
      <c r="B332" s="136" t="s">
        <v>1127</v>
      </c>
      <c r="C332" s="136" t="s">
        <v>1295</v>
      </c>
      <c r="D332" s="136" t="s">
        <v>839</v>
      </c>
      <c r="E332" s="136" t="s">
        <v>1162</v>
      </c>
      <c r="F332" s="137">
        <v>8.0</v>
      </c>
      <c r="G332" s="137">
        <v>9.0</v>
      </c>
      <c r="H332" s="137">
        <v>-1.0</v>
      </c>
      <c r="I332" s="137">
        <v>8.0</v>
      </c>
      <c r="J332" s="137">
        <v>9.0</v>
      </c>
      <c r="K332" s="137">
        <v>-1.0</v>
      </c>
      <c r="L332" s="137">
        <v>16.0</v>
      </c>
      <c r="M332" s="137">
        <v>16.0</v>
      </c>
    </row>
    <row r="333">
      <c r="A333" s="137">
        <v>4465.0</v>
      </c>
      <c r="B333" s="136" t="s">
        <v>1127</v>
      </c>
      <c r="C333" s="136" t="s">
        <v>1127</v>
      </c>
      <c r="D333" s="136" t="s">
        <v>836</v>
      </c>
      <c r="E333" s="136" t="s">
        <v>1165</v>
      </c>
      <c r="F333" s="137">
        <v>8.0</v>
      </c>
      <c r="G333" s="137">
        <v>8.0</v>
      </c>
      <c r="H333" s="137">
        <v>0.0</v>
      </c>
      <c r="I333" s="137">
        <v>8.0</v>
      </c>
      <c r="J333" s="137">
        <v>8.0</v>
      </c>
      <c r="K333" s="137">
        <v>0.0</v>
      </c>
      <c r="L333" s="137">
        <v>28.0</v>
      </c>
      <c r="M333" s="137">
        <v>28.0</v>
      </c>
    </row>
    <row r="334">
      <c r="A334" s="137">
        <v>6898.0</v>
      </c>
      <c r="B334" s="136" t="s">
        <v>1127</v>
      </c>
      <c r="C334" s="136" t="s">
        <v>1294</v>
      </c>
      <c r="D334" s="136" t="s">
        <v>1320</v>
      </c>
      <c r="E334" s="136" t="s">
        <v>1167</v>
      </c>
      <c r="F334" s="137">
        <v>8.0</v>
      </c>
      <c r="G334" s="137">
        <v>6.0</v>
      </c>
      <c r="H334" s="137">
        <v>2.0</v>
      </c>
      <c r="I334" s="137">
        <v>8.0</v>
      </c>
      <c r="J334" s="137">
        <v>7.0</v>
      </c>
      <c r="K334" s="137">
        <v>1.0</v>
      </c>
      <c r="L334" s="137">
        <v>14.0</v>
      </c>
      <c r="M334" s="137">
        <v>17.0</v>
      </c>
    </row>
    <row r="335">
      <c r="A335" s="137">
        <v>7198.0</v>
      </c>
      <c r="B335" s="136" t="s">
        <v>1127</v>
      </c>
      <c r="C335" s="136" t="s">
        <v>1127</v>
      </c>
      <c r="D335" s="136" t="s">
        <v>1321</v>
      </c>
      <c r="E335" s="136" t="s">
        <v>1168</v>
      </c>
      <c r="F335" s="137">
        <v>8.0</v>
      </c>
      <c r="G335" s="137">
        <v>6.0</v>
      </c>
      <c r="H335" s="137">
        <v>2.0</v>
      </c>
      <c r="I335" s="137">
        <v>8.0</v>
      </c>
      <c r="J335" s="137">
        <v>6.0</v>
      </c>
      <c r="K335" s="137">
        <v>2.0</v>
      </c>
      <c r="L335" s="137">
        <v>14.0</v>
      </c>
      <c r="M335" s="137">
        <v>14.0</v>
      </c>
    </row>
    <row r="336">
      <c r="A336" s="137">
        <v>6844.0</v>
      </c>
      <c r="B336" s="136" t="s">
        <v>1127</v>
      </c>
      <c r="C336" s="136" t="s">
        <v>1305</v>
      </c>
      <c r="D336" s="136" t="s">
        <v>1048</v>
      </c>
      <c r="E336" s="136" t="s">
        <v>1169</v>
      </c>
      <c r="F336" s="137">
        <v>8.0</v>
      </c>
      <c r="G336" s="137">
        <v>14.0</v>
      </c>
      <c r="H336" s="137">
        <v>-6.0</v>
      </c>
      <c r="I336" s="137">
        <v>8.0</v>
      </c>
      <c r="J336" s="137">
        <v>14.0</v>
      </c>
      <c r="K336" s="137">
        <v>-6.0</v>
      </c>
      <c r="L336" s="137">
        <v>22.0</v>
      </c>
      <c r="M336" s="137">
        <v>24.0</v>
      </c>
    </row>
    <row r="337">
      <c r="A337" s="137">
        <v>801.0</v>
      </c>
      <c r="B337" s="136" t="s">
        <v>1127</v>
      </c>
      <c r="C337" s="136" t="s">
        <v>1294</v>
      </c>
      <c r="D337" s="136" t="s">
        <v>837</v>
      </c>
      <c r="E337" s="136" t="s">
        <v>1173</v>
      </c>
      <c r="F337" s="137">
        <v>8.0</v>
      </c>
      <c r="G337" s="137">
        <v>2.0</v>
      </c>
      <c r="H337" s="137">
        <v>6.0</v>
      </c>
      <c r="I337" s="137">
        <v>8.0</v>
      </c>
      <c r="J337" s="137">
        <v>2.0</v>
      </c>
      <c r="K337" s="137">
        <v>6.0</v>
      </c>
      <c r="L337" s="137">
        <v>6.0</v>
      </c>
      <c r="M337" s="137">
        <v>8.0</v>
      </c>
    </row>
    <row r="338">
      <c r="A338" s="137">
        <v>4870.0</v>
      </c>
      <c r="B338" s="136" t="s">
        <v>1127</v>
      </c>
      <c r="C338" s="136" t="s">
        <v>1294</v>
      </c>
      <c r="D338" s="136" t="s">
        <v>1322</v>
      </c>
      <c r="E338" s="136" t="s">
        <v>1162</v>
      </c>
      <c r="F338" s="137">
        <v>7.0</v>
      </c>
      <c r="G338" s="137">
        <v>5.0</v>
      </c>
      <c r="H338" s="137">
        <v>2.0</v>
      </c>
      <c r="I338" s="137">
        <v>7.0</v>
      </c>
      <c r="J338" s="137">
        <v>6.0</v>
      </c>
      <c r="K338" s="137">
        <v>1.0</v>
      </c>
      <c r="L338" s="137">
        <v>14.0</v>
      </c>
      <c r="M338" s="137">
        <v>15.0</v>
      </c>
    </row>
    <row r="339">
      <c r="A339" s="137">
        <v>5992.0</v>
      </c>
      <c r="B339" s="136" t="s">
        <v>1127</v>
      </c>
      <c r="C339" s="136" t="s">
        <v>1294</v>
      </c>
      <c r="D339" s="136" t="s">
        <v>1323</v>
      </c>
      <c r="E339" s="136" t="s">
        <v>1160</v>
      </c>
      <c r="F339" s="137">
        <v>7.0</v>
      </c>
      <c r="G339" s="137">
        <v>3.0</v>
      </c>
      <c r="H339" s="137">
        <v>4.0</v>
      </c>
      <c r="I339" s="137">
        <v>7.0</v>
      </c>
      <c r="J339" s="137">
        <v>3.0</v>
      </c>
      <c r="K339" s="137">
        <v>4.0</v>
      </c>
      <c r="L339" s="137">
        <v>16.0</v>
      </c>
      <c r="M339" s="137">
        <v>21.0</v>
      </c>
    </row>
    <row r="340">
      <c r="A340" s="137">
        <v>795.0</v>
      </c>
      <c r="B340" s="136" t="s">
        <v>1127</v>
      </c>
      <c r="C340" s="136" t="s">
        <v>1308</v>
      </c>
      <c r="D340" s="136" t="s">
        <v>754</v>
      </c>
      <c r="E340" s="136" t="s">
        <v>1153</v>
      </c>
      <c r="F340" s="137">
        <v>7.0</v>
      </c>
      <c r="G340" s="137">
        <v>8.0</v>
      </c>
      <c r="H340" s="137">
        <v>-1.0</v>
      </c>
      <c r="I340" s="137">
        <v>7.0</v>
      </c>
      <c r="J340" s="137">
        <v>7.0</v>
      </c>
      <c r="K340" s="137">
        <v>0.0</v>
      </c>
      <c r="L340" s="137">
        <v>12.0</v>
      </c>
      <c r="M340" s="137">
        <v>12.0</v>
      </c>
    </row>
    <row r="341">
      <c r="A341" s="137">
        <v>5888.0</v>
      </c>
      <c r="B341" s="136" t="s">
        <v>1127</v>
      </c>
      <c r="C341" s="136" t="s">
        <v>1295</v>
      </c>
      <c r="D341" s="136" t="s">
        <v>1094</v>
      </c>
      <c r="E341" s="136" t="s">
        <v>1175</v>
      </c>
      <c r="F341" s="137">
        <v>7.0</v>
      </c>
      <c r="G341" s="137">
        <v>12.0</v>
      </c>
      <c r="H341" s="137">
        <v>-5.0</v>
      </c>
      <c r="I341" s="137">
        <v>7.0</v>
      </c>
      <c r="J341" s="137">
        <v>12.0</v>
      </c>
      <c r="K341" s="137">
        <v>-5.0</v>
      </c>
      <c r="L341" s="137">
        <v>21.0</v>
      </c>
      <c r="M341" s="137">
        <v>21.0</v>
      </c>
    </row>
    <row r="342">
      <c r="A342" s="137">
        <v>6481.0</v>
      </c>
      <c r="B342" s="136" t="s">
        <v>1127</v>
      </c>
      <c r="C342" s="136" t="s">
        <v>1127</v>
      </c>
      <c r="D342" s="136" t="s">
        <v>1324</v>
      </c>
      <c r="E342" s="136" t="s">
        <v>1160</v>
      </c>
      <c r="F342" s="137">
        <v>7.0</v>
      </c>
      <c r="G342" s="137">
        <v>4.0</v>
      </c>
      <c r="H342" s="137">
        <v>3.0</v>
      </c>
      <c r="I342" s="137">
        <v>7.0</v>
      </c>
      <c r="J342" s="137">
        <v>4.0</v>
      </c>
      <c r="K342" s="137">
        <v>3.0</v>
      </c>
      <c r="L342" s="137">
        <v>8.0</v>
      </c>
      <c r="M342" s="137">
        <v>8.0</v>
      </c>
    </row>
    <row r="343">
      <c r="A343" s="137">
        <v>7254.0</v>
      </c>
      <c r="B343" s="136" t="s">
        <v>1127</v>
      </c>
      <c r="C343" s="136" t="s">
        <v>1297</v>
      </c>
      <c r="D343" s="136" t="s">
        <v>1325</v>
      </c>
      <c r="E343" s="136" t="s">
        <v>1172</v>
      </c>
      <c r="F343" s="137">
        <v>7.0</v>
      </c>
      <c r="G343" s="137">
        <v>7.0</v>
      </c>
      <c r="H343" s="137">
        <v>0.0</v>
      </c>
      <c r="I343" s="137">
        <v>7.0</v>
      </c>
      <c r="J343" s="137">
        <v>6.0</v>
      </c>
      <c r="K343" s="137">
        <v>1.0</v>
      </c>
      <c r="L343" s="137">
        <v>13.0</v>
      </c>
      <c r="M343" s="137">
        <v>10.0</v>
      </c>
    </row>
    <row r="344">
      <c r="A344" s="137">
        <v>7318.0</v>
      </c>
      <c r="B344" s="136" t="s">
        <v>1127</v>
      </c>
      <c r="C344" s="136" t="s">
        <v>1295</v>
      </c>
      <c r="D344" s="136" t="s">
        <v>1326</v>
      </c>
      <c r="E344" s="136" t="s">
        <v>1159</v>
      </c>
      <c r="F344" s="137">
        <v>7.0</v>
      </c>
      <c r="G344" s="137">
        <v>6.0</v>
      </c>
      <c r="H344" s="137">
        <v>1.0</v>
      </c>
      <c r="I344" s="137">
        <v>7.0</v>
      </c>
      <c r="J344" s="137">
        <v>6.0</v>
      </c>
      <c r="K344" s="137">
        <v>1.0</v>
      </c>
      <c r="L344" s="137">
        <v>13.0</v>
      </c>
      <c r="M344" s="137">
        <v>13.0</v>
      </c>
    </row>
    <row r="345">
      <c r="A345" s="137">
        <v>7331.0</v>
      </c>
      <c r="B345" s="136" t="s">
        <v>1127</v>
      </c>
      <c r="C345" s="136" t="s">
        <v>1294</v>
      </c>
      <c r="D345" s="136" t="s">
        <v>1327</v>
      </c>
      <c r="E345" s="136" t="s">
        <v>1172</v>
      </c>
      <c r="F345" s="137">
        <v>7.0</v>
      </c>
      <c r="G345" s="137">
        <v>7.0</v>
      </c>
      <c r="H345" s="137">
        <v>0.0</v>
      </c>
      <c r="I345" s="137">
        <v>8.0</v>
      </c>
      <c r="J345" s="137">
        <v>8.0</v>
      </c>
      <c r="K345" s="137">
        <v>0.0</v>
      </c>
      <c r="L345" s="137">
        <v>16.0</v>
      </c>
      <c r="M345" s="137">
        <v>21.0</v>
      </c>
    </row>
    <row r="346">
      <c r="A346" s="137">
        <v>6575.0</v>
      </c>
      <c r="B346" s="136" t="s">
        <v>1127</v>
      </c>
      <c r="C346" s="136" t="s">
        <v>1296</v>
      </c>
      <c r="D346" s="136" t="s">
        <v>1328</v>
      </c>
      <c r="E346" s="136" t="s">
        <v>1153</v>
      </c>
      <c r="F346" s="137">
        <v>7.0</v>
      </c>
      <c r="G346" s="137">
        <v>7.0</v>
      </c>
      <c r="H346" s="137">
        <v>0.0</v>
      </c>
      <c r="I346" s="137">
        <v>6.0</v>
      </c>
      <c r="J346" s="137">
        <v>6.0</v>
      </c>
      <c r="K346" s="137">
        <v>0.0</v>
      </c>
      <c r="L346" s="137">
        <v>16.0</v>
      </c>
      <c r="M346" s="137">
        <v>14.0</v>
      </c>
    </row>
    <row r="347">
      <c r="A347" s="137">
        <v>7351.0</v>
      </c>
      <c r="B347" s="136" t="s">
        <v>1127</v>
      </c>
      <c r="C347" s="136" t="s">
        <v>1296</v>
      </c>
      <c r="D347" s="136" t="s">
        <v>1329</v>
      </c>
      <c r="E347" s="136" t="s">
        <v>1155</v>
      </c>
      <c r="F347" s="137">
        <v>7.0</v>
      </c>
      <c r="G347" s="137">
        <v>7.0</v>
      </c>
      <c r="H347" s="137">
        <v>0.0</v>
      </c>
      <c r="I347" s="137">
        <v>6.0</v>
      </c>
      <c r="J347" s="137">
        <v>6.0</v>
      </c>
      <c r="K347" s="137">
        <v>0.0</v>
      </c>
      <c r="L347" s="137">
        <v>15.0</v>
      </c>
      <c r="M347" s="137">
        <v>13.0</v>
      </c>
    </row>
    <row r="348">
      <c r="A348" s="137">
        <v>5858.0</v>
      </c>
      <c r="B348" s="136" t="s">
        <v>1127</v>
      </c>
      <c r="C348" s="136" t="s">
        <v>1295</v>
      </c>
      <c r="D348" s="136" t="s">
        <v>827</v>
      </c>
      <c r="E348" s="136" t="s">
        <v>1169</v>
      </c>
      <c r="F348" s="137">
        <v>6.0</v>
      </c>
      <c r="G348" s="137">
        <v>11.0</v>
      </c>
      <c r="H348" s="137">
        <v>-5.0</v>
      </c>
      <c r="I348" s="137">
        <v>6.0</v>
      </c>
      <c r="J348" s="137">
        <v>11.0</v>
      </c>
      <c r="K348" s="137">
        <v>-5.0</v>
      </c>
      <c r="L348" s="137">
        <v>16.0</v>
      </c>
      <c r="M348" s="137">
        <v>16.0</v>
      </c>
    </row>
    <row r="349">
      <c r="A349" s="137">
        <v>1871.0</v>
      </c>
      <c r="B349" s="136" t="s">
        <v>1127</v>
      </c>
      <c r="C349" s="136" t="s">
        <v>1294</v>
      </c>
      <c r="D349" s="136" t="s">
        <v>1008</v>
      </c>
      <c r="E349" s="136" t="s">
        <v>1162</v>
      </c>
      <c r="F349" s="137">
        <v>6.0</v>
      </c>
      <c r="G349" s="137">
        <v>5.0</v>
      </c>
      <c r="H349" s="137">
        <v>1.0</v>
      </c>
      <c r="I349" s="137">
        <v>6.0</v>
      </c>
      <c r="J349" s="137">
        <v>5.0</v>
      </c>
      <c r="K349" s="137">
        <v>1.0</v>
      </c>
      <c r="L349" s="137">
        <v>14.0</v>
      </c>
      <c r="M349" s="137">
        <v>17.0</v>
      </c>
    </row>
    <row r="350">
      <c r="A350" s="137">
        <v>6424.0</v>
      </c>
      <c r="B350" s="136" t="s">
        <v>1127</v>
      </c>
      <c r="C350" s="136" t="s">
        <v>1294</v>
      </c>
      <c r="D350" s="136" t="s">
        <v>1330</v>
      </c>
      <c r="E350" s="136" t="s">
        <v>1175</v>
      </c>
      <c r="F350" s="137">
        <v>6.0</v>
      </c>
      <c r="G350" s="137">
        <v>3.0</v>
      </c>
      <c r="H350" s="137">
        <v>3.0</v>
      </c>
      <c r="I350" s="137">
        <v>6.0</v>
      </c>
      <c r="J350" s="137">
        <v>3.0</v>
      </c>
      <c r="K350" s="137">
        <v>3.0</v>
      </c>
      <c r="L350" s="137">
        <v>11.0</v>
      </c>
      <c r="M350" s="137">
        <v>14.0</v>
      </c>
    </row>
    <row r="351">
      <c r="A351" s="137">
        <v>6294.0</v>
      </c>
      <c r="B351" s="136" t="s">
        <v>1127</v>
      </c>
      <c r="C351" s="136" t="s">
        <v>1294</v>
      </c>
      <c r="D351" s="136" t="s">
        <v>1331</v>
      </c>
      <c r="E351" s="136" t="s">
        <v>1165</v>
      </c>
      <c r="F351" s="137">
        <v>6.0</v>
      </c>
      <c r="G351" s="137">
        <v>2.0</v>
      </c>
      <c r="H351" s="137">
        <v>4.0</v>
      </c>
      <c r="I351" s="137">
        <v>6.0</v>
      </c>
      <c r="J351" s="137">
        <v>2.0</v>
      </c>
      <c r="K351" s="137">
        <v>4.0</v>
      </c>
      <c r="L351" s="137">
        <v>14.0</v>
      </c>
      <c r="M351" s="137">
        <v>17.0</v>
      </c>
    </row>
    <row r="352">
      <c r="A352" s="137">
        <v>4970.0</v>
      </c>
      <c r="B352" s="136" t="s">
        <v>1127</v>
      </c>
      <c r="C352" s="136" t="s">
        <v>1312</v>
      </c>
      <c r="D352" s="136" t="s">
        <v>615</v>
      </c>
      <c r="E352" s="136" t="s">
        <v>1170</v>
      </c>
      <c r="F352" s="137">
        <v>6.0</v>
      </c>
      <c r="G352" s="137">
        <v>8.0</v>
      </c>
      <c r="H352" s="137">
        <v>-2.0</v>
      </c>
      <c r="I352" s="137">
        <v>6.0</v>
      </c>
      <c r="J352" s="137">
        <v>8.0</v>
      </c>
      <c r="K352" s="137">
        <v>-2.0</v>
      </c>
      <c r="L352" s="137">
        <v>10.0</v>
      </c>
      <c r="M352" s="137">
        <v>10.0</v>
      </c>
    </row>
    <row r="353">
      <c r="A353" s="137">
        <v>5301.0</v>
      </c>
      <c r="B353" s="136" t="s">
        <v>1127</v>
      </c>
      <c r="C353" s="136" t="s">
        <v>1299</v>
      </c>
      <c r="D353" s="136" t="s">
        <v>1332</v>
      </c>
      <c r="E353" s="136" t="s">
        <v>1161</v>
      </c>
      <c r="F353" s="137">
        <v>6.0</v>
      </c>
      <c r="G353" s="137">
        <v>7.0</v>
      </c>
      <c r="H353" s="137">
        <v>-1.0</v>
      </c>
      <c r="I353" s="137">
        <v>6.0</v>
      </c>
      <c r="J353" s="137">
        <v>7.0</v>
      </c>
      <c r="K353" s="137">
        <v>-1.0</v>
      </c>
      <c r="L353" s="137">
        <v>15.0</v>
      </c>
      <c r="M353" s="137">
        <v>15.0</v>
      </c>
    </row>
    <row r="354">
      <c r="A354" s="137">
        <v>6549.0</v>
      </c>
      <c r="B354" s="136" t="s">
        <v>1127</v>
      </c>
      <c r="C354" s="136" t="s">
        <v>1296</v>
      </c>
      <c r="D354" s="136" t="s">
        <v>1092</v>
      </c>
      <c r="E354" s="136" t="s">
        <v>1159</v>
      </c>
      <c r="F354" s="137">
        <v>6.0</v>
      </c>
      <c r="G354" s="137">
        <v>10.0</v>
      </c>
      <c r="H354" s="137">
        <v>-4.0</v>
      </c>
      <c r="I354" s="137">
        <v>6.0</v>
      </c>
      <c r="J354" s="137">
        <v>9.0</v>
      </c>
      <c r="K354" s="137">
        <v>-3.0</v>
      </c>
      <c r="L354" s="137">
        <v>14.0</v>
      </c>
      <c r="M354" s="137">
        <v>12.0</v>
      </c>
    </row>
    <row r="355">
      <c r="A355" s="137">
        <v>5998.0</v>
      </c>
      <c r="B355" s="136" t="s">
        <v>1127</v>
      </c>
      <c r="C355" s="136" t="s">
        <v>1299</v>
      </c>
      <c r="D355" s="136" t="s">
        <v>1049</v>
      </c>
      <c r="E355" s="136" t="s">
        <v>1160</v>
      </c>
      <c r="F355" s="137">
        <v>6.0</v>
      </c>
      <c r="G355" s="137">
        <v>3.0</v>
      </c>
      <c r="H355" s="137">
        <v>3.0</v>
      </c>
      <c r="I355" s="137">
        <v>6.0</v>
      </c>
      <c r="J355" s="137">
        <v>3.0</v>
      </c>
      <c r="K355" s="137">
        <v>3.0</v>
      </c>
      <c r="L355" s="137">
        <v>10.0</v>
      </c>
      <c r="M355" s="137">
        <v>13.0</v>
      </c>
    </row>
    <row r="356">
      <c r="A356" s="137">
        <v>5131.0</v>
      </c>
      <c r="B356" s="136" t="s">
        <v>1127</v>
      </c>
      <c r="C356" s="136" t="s">
        <v>1294</v>
      </c>
      <c r="D356" s="136" t="s">
        <v>1333</v>
      </c>
      <c r="E356" s="136" t="s">
        <v>1155</v>
      </c>
      <c r="F356" s="137">
        <v>6.0</v>
      </c>
      <c r="G356" s="137">
        <v>7.0</v>
      </c>
      <c r="H356" s="137">
        <v>-1.0</v>
      </c>
      <c r="I356" s="137">
        <v>6.0</v>
      </c>
      <c r="J356" s="137">
        <v>7.0</v>
      </c>
      <c r="K356" s="137">
        <v>-1.0</v>
      </c>
      <c r="L356" s="137">
        <v>12.0</v>
      </c>
      <c r="M356" s="137">
        <v>15.0</v>
      </c>
    </row>
    <row r="357">
      <c r="A357" s="137">
        <v>6593.0</v>
      </c>
      <c r="B357" s="136" t="s">
        <v>1127</v>
      </c>
      <c r="C357" s="136" t="s">
        <v>1295</v>
      </c>
      <c r="D357" s="136" t="s">
        <v>1334</v>
      </c>
      <c r="E357" s="136" t="s">
        <v>1172</v>
      </c>
      <c r="F357" s="137">
        <v>6.0</v>
      </c>
      <c r="G357" s="137">
        <v>3.0</v>
      </c>
      <c r="H357" s="137">
        <v>3.0</v>
      </c>
      <c r="I357" s="137">
        <v>6.0</v>
      </c>
      <c r="J357" s="137">
        <v>3.0</v>
      </c>
      <c r="K357" s="137">
        <v>3.0</v>
      </c>
      <c r="L357" s="137">
        <v>12.0</v>
      </c>
      <c r="M357" s="137">
        <v>12.0</v>
      </c>
    </row>
    <row r="358">
      <c r="A358" s="137">
        <v>6190.0</v>
      </c>
      <c r="B358" s="136" t="s">
        <v>1127</v>
      </c>
      <c r="C358" s="136" t="s">
        <v>1127</v>
      </c>
      <c r="D358" s="136" t="s">
        <v>1335</v>
      </c>
      <c r="E358" s="136" t="s">
        <v>1153</v>
      </c>
      <c r="F358" s="137">
        <v>6.0</v>
      </c>
      <c r="G358" s="137">
        <v>7.0</v>
      </c>
      <c r="H358" s="137">
        <v>-1.0</v>
      </c>
      <c r="I358" s="137">
        <v>6.0</v>
      </c>
      <c r="J358" s="137">
        <v>7.0</v>
      </c>
      <c r="K358" s="137">
        <v>-1.0</v>
      </c>
      <c r="L358" s="137">
        <v>16.0</v>
      </c>
      <c r="M358" s="137">
        <v>16.0</v>
      </c>
    </row>
    <row r="359">
      <c r="A359" s="137">
        <v>5823.0</v>
      </c>
      <c r="B359" s="136" t="s">
        <v>1127</v>
      </c>
      <c r="C359" s="136" t="s">
        <v>1293</v>
      </c>
      <c r="D359" s="136" t="s">
        <v>844</v>
      </c>
      <c r="E359" s="136" t="s">
        <v>1170</v>
      </c>
      <c r="F359" s="137">
        <v>6.0</v>
      </c>
      <c r="G359" s="137">
        <v>8.0</v>
      </c>
      <c r="H359" s="137">
        <v>-2.0</v>
      </c>
      <c r="I359" s="137">
        <v>6.0</v>
      </c>
      <c r="J359" s="137">
        <v>8.0</v>
      </c>
      <c r="K359" s="137">
        <v>-2.0</v>
      </c>
      <c r="L359" s="137">
        <v>26.0</v>
      </c>
      <c r="M359" s="137">
        <v>26.0</v>
      </c>
    </row>
    <row r="360">
      <c r="A360" s="137">
        <v>7209.0</v>
      </c>
      <c r="B360" s="136" t="s">
        <v>1127</v>
      </c>
      <c r="C360" s="136" t="s">
        <v>1127</v>
      </c>
      <c r="D360" s="136" t="s">
        <v>1101</v>
      </c>
      <c r="E360" s="136" t="s">
        <v>1167</v>
      </c>
      <c r="F360" s="137">
        <v>6.0</v>
      </c>
      <c r="G360" s="137">
        <v>6.0</v>
      </c>
      <c r="H360" s="137">
        <v>0.0</v>
      </c>
      <c r="I360" s="137">
        <v>6.0</v>
      </c>
      <c r="J360" s="137">
        <v>6.0</v>
      </c>
      <c r="K360" s="137">
        <v>0.0</v>
      </c>
      <c r="L360" s="137">
        <v>11.0</v>
      </c>
      <c r="M360" s="137">
        <v>11.0</v>
      </c>
    </row>
    <row r="361">
      <c r="A361" s="137">
        <v>788.0</v>
      </c>
      <c r="B361" s="136" t="s">
        <v>1127</v>
      </c>
      <c r="C361" s="136" t="s">
        <v>1294</v>
      </c>
      <c r="D361" s="136" t="s">
        <v>840</v>
      </c>
      <c r="E361" s="136" t="s">
        <v>1169</v>
      </c>
      <c r="F361" s="137">
        <v>5.0</v>
      </c>
      <c r="G361" s="137">
        <v>11.0</v>
      </c>
      <c r="H361" s="137">
        <v>-6.0</v>
      </c>
      <c r="I361" s="137">
        <v>5.0</v>
      </c>
      <c r="J361" s="137">
        <v>12.0</v>
      </c>
      <c r="K361" s="137">
        <v>-7.0</v>
      </c>
      <c r="L361" s="137">
        <v>16.0</v>
      </c>
      <c r="M361" s="137">
        <v>21.0</v>
      </c>
    </row>
    <row r="362">
      <c r="A362" s="137">
        <v>5784.0</v>
      </c>
      <c r="B362" s="136" t="s">
        <v>1127</v>
      </c>
      <c r="C362" s="136" t="s">
        <v>1127</v>
      </c>
      <c r="D362" s="136" t="s">
        <v>892</v>
      </c>
      <c r="E362" s="136" t="s">
        <v>1172</v>
      </c>
      <c r="F362" s="137">
        <v>5.0</v>
      </c>
      <c r="G362" s="137">
        <v>4.0</v>
      </c>
      <c r="H362" s="137">
        <v>1.0</v>
      </c>
      <c r="I362" s="137">
        <v>5.0</v>
      </c>
      <c r="J362" s="137">
        <v>4.0</v>
      </c>
      <c r="K362" s="137">
        <v>1.0</v>
      </c>
      <c r="L362" s="137">
        <v>12.0</v>
      </c>
      <c r="M362" s="137">
        <v>12.0</v>
      </c>
    </row>
    <row r="363">
      <c r="A363" s="137">
        <v>184.0</v>
      </c>
      <c r="B363" s="136" t="s">
        <v>1127</v>
      </c>
      <c r="C363" s="136" t="s">
        <v>1296</v>
      </c>
      <c r="D363" s="136" t="s">
        <v>1052</v>
      </c>
      <c r="E363" s="136" t="s">
        <v>1169</v>
      </c>
      <c r="F363" s="137">
        <v>5.0</v>
      </c>
      <c r="G363" s="137">
        <v>9.0</v>
      </c>
      <c r="H363" s="137">
        <v>-4.0</v>
      </c>
      <c r="I363" s="137">
        <v>5.0</v>
      </c>
      <c r="J363" s="137">
        <v>8.0</v>
      </c>
      <c r="K363" s="137">
        <v>-3.0</v>
      </c>
      <c r="L363" s="137">
        <v>13.0</v>
      </c>
      <c r="M363" s="137">
        <v>13.0</v>
      </c>
    </row>
    <row r="364">
      <c r="A364" s="137">
        <v>27.0</v>
      </c>
      <c r="B364" s="136" t="s">
        <v>1127</v>
      </c>
      <c r="C364" s="136" t="s">
        <v>1294</v>
      </c>
      <c r="D364" s="136" t="s">
        <v>1336</v>
      </c>
      <c r="E364" s="136" t="s">
        <v>1160</v>
      </c>
      <c r="F364" s="137">
        <v>5.0</v>
      </c>
      <c r="G364" s="137">
        <v>4.0</v>
      </c>
      <c r="H364" s="137">
        <v>1.0</v>
      </c>
      <c r="I364" s="137">
        <v>5.0</v>
      </c>
      <c r="J364" s="137">
        <v>4.0</v>
      </c>
      <c r="K364" s="137">
        <v>1.0</v>
      </c>
      <c r="L364" s="137">
        <v>8.0</v>
      </c>
      <c r="M364" s="137">
        <v>10.0</v>
      </c>
    </row>
    <row r="365">
      <c r="A365" s="137">
        <v>6917.0</v>
      </c>
      <c r="B365" s="136" t="s">
        <v>1127</v>
      </c>
      <c r="C365" s="136" t="s">
        <v>1294</v>
      </c>
      <c r="D365" s="136" t="s">
        <v>1337</v>
      </c>
      <c r="E365" s="136" t="s">
        <v>1170</v>
      </c>
      <c r="F365" s="137">
        <v>5.0</v>
      </c>
      <c r="G365" s="137">
        <v>5.0</v>
      </c>
      <c r="H365" s="137">
        <v>0.0</v>
      </c>
      <c r="I365" s="137">
        <v>5.0</v>
      </c>
      <c r="J365" s="137">
        <v>5.0</v>
      </c>
      <c r="K365" s="137">
        <v>0.0</v>
      </c>
      <c r="L365" s="137">
        <v>10.0</v>
      </c>
      <c r="M365" s="137">
        <v>12.0</v>
      </c>
    </row>
    <row r="366">
      <c r="A366" s="137">
        <v>6394.0</v>
      </c>
      <c r="B366" s="136" t="s">
        <v>1127</v>
      </c>
      <c r="C366" s="136" t="s">
        <v>1294</v>
      </c>
      <c r="D366" s="136" t="s">
        <v>842</v>
      </c>
      <c r="E366" s="136" t="s">
        <v>1159</v>
      </c>
      <c r="F366" s="137">
        <v>5.0</v>
      </c>
      <c r="G366" s="137">
        <v>6.0</v>
      </c>
      <c r="H366" s="137">
        <v>-1.0</v>
      </c>
      <c r="I366" s="137">
        <v>5.0</v>
      </c>
      <c r="J366" s="137">
        <v>7.0</v>
      </c>
      <c r="K366" s="137">
        <v>-2.0</v>
      </c>
      <c r="L366" s="137">
        <v>13.0</v>
      </c>
      <c r="M366" s="137">
        <v>16.0</v>
      </c>
    </row>
    <row r="367">
      <c r="A367" s="137">
        <v>5295.0</v>
      </c>
      <c r="B367" s="136" t="s">
        <v>1127</v>
      </c>
      <c r="C367" s="136" t="s">
        <v>1312</v>
      </c>
      <c r="D367" s="136" t="s">
        <v>833</v>
      </c>
      <c r="E367" s="136" t="s">
        <v>1154</v>
      </c>
      <c r="F367" s="137">
        <v>5.0</v>
      </c>
      <c r="G367" s="137">
        <v>6.0</v>
      </c>
      <c r="H367" s="137">
        <v>-1.0</v>
      </c>
      <c r="I367" s="137">
        <v>5.0</v>
      </c>
      <c r="J367" s="137">
        <v>6.0</v>
      </c>
      <c r="K367" s="137">
        <v>-1.0</v>
      </c>
      <c r="L367" s="137">
        <v>11.0</v>
      </c>
      <c r="M367" s="137">
        <v>13.0</v>
      </c>
    </row>
    <row r="368">
      <c r="A368" s="137">
        <v>5290.0</v>
      </c>
      <c r="B368" s="136" t="s">
        <v>1127</v>
      </c>
      <c r="C368" s="136" t="s">
        <v>1294</v>
      </c>
      <c r="D368" s="136" t="s">
        <v>1338</v>
      </c>
      <c r="E368" s="136" t="s">
        <v>1167</v>
      </c>
      <c r="F368" s="137">
        <v>5.0</v>
      </c>
      <c r="G368" s="137">
        <v>2.0</v>
      </c>
      <c r="H368" s="137">
        <v>3.0</v>
      </c>
      <c r="I368" s="137">
        <v>5.0</v>
      </c>
      <c r="J368" s="137">
        <v>2.0</v>
      </c>
      <c r="K368" s="137">
        <v>3.0</v>
      </c>
      <c r="L368" s="137">
        <v>10.0</v>
      </c>
      <c r="M368" s="137">
        <v>10.0</v>
      </c>
    </row>
    <row r="369">
      <c r="A369" s="137">
        <v>6984.0</v>
      </c>
      <c r="B369" s="136" t="s">
        <v>1127</v>
      </c>
      <c r="C369" s="136" t="s">
        <v>1296</v>
      </c>
      <c r="D369" s="136" t="s">
        <v>1339</v>
      </c>
      <c r="E369" s="136" t="s">
        <v>1167</v>
      </c>
      <c r="F369" s="137">
        <v>5.0</v>
      </c>
      <c r="G369" s="137">
        <v>13.0</v>
      </c>
      <c r="H369" s="137">
        <v>-8.0</v>
      </c>
      <c r="I369" s="137">
        <v>5.0</v>
      </c>
      <c r="J369" s="137">
        <v>12.0</v>
      </c>
      <c r="K369" s="137">
        <v>-7.0</v>
      </c>
      <c r="L369" s="137">
        <v>18.0</v>
      </c>
      <c r="M369" s="137">
        <v>18.0</v>
      </c>
    </row>
    <row r="370">
      <c r="A370" s="137">
        <v>7145.0</v>
      </c>
      <c r="B370" s="136" t="s">
        <v>1127</v>
      </c>
      <c r="C370" s="136" t="s">
        <v>1314</v>
      </c>
      <c r="D370" s="136" t="s">
        <v>1340</v>
      </c>
      <c r="E370" s="136" t="s">
        <v>1172</v>
      </c>
      <c r="F370" s="137">
        <v>5.0</v>
      </c>
      <c r="G370" s="137">
        <v>6.0</v>
      </c>
      <c r="H370" s="137">
        <v>-1.0</v>
      </c>
      <c r="I370" s="137">
        <v>5.0</v>
      </c>
      <c r="J370" s="137">
        <v>7.0</v>
      </c>
      <c r="K370" s="137">
        <v>-2.0</v>
      </c>
      <c r="L370" s="137">
        <v>12.0</v>
      </c>
      <c r="M370" s="137">
        <v>15.0</v>
      </c>
    </row>
    <row r="371">
      <c r="A371" s="137">
        <v>7157.0</v>
      </c>
      <c r="B371" s="136" t="s">
        <v>1127</v>
      </c>
      <c r="C371" s="136" t="s">
        <v>1127</v>
      </c>
      <c r="D371" s="136" t="s">
        <v>1341</v>
      </c>
      <c r="E371" s="136" t="s">
        <v>1164</v>
      </c>
      <c r="F371" s="137">
        <v>5.0</v>
      </c>
      <c r="G371" s="137">
        <v>1.0</v>
      </c>
      <c r="H371" s="137">
        <v>4.0</v>
      </c>
      <c r="I371" s="137">
        <v>5.0</v>
      </c>
      <c r="J371" s="137">
        <v>1.0</v>
      </c>
      <c r="K371" s="137">
        <v>4.0</v>
      </c>
      <c r="L371" s="137">
        <v>8.0</v>
      </c>
      <c r="M371" s="137">
        <v>8.0</v>
      </c>
    </row>
    <row r="372">
      <c r="A372" s="137">
        <v>5540.0</v>
      </c>
      <c r="B372" s="136" t="s">
        <v>1127</v>
      </c>
      <c r="C372" s="136" t="s">
        <v>1294</v>
      </c>
      <c r="D372" s="136" t="s">
        <v>1342</v>
      </c>
      <c r="E372" s="136" t="s">
        <v>1173</v>
      </c>
      <c r="F372" s="137">
        <v>5.0</v>
      </c>
      <c r="G372" s="137">
        <v>3.0</v>
      </c>
      <c r="H372" s="137">
        <v>2.0</v>
      </c>
      <c r="I372" s="137">
        <v>5.0</v>
      </c>
      <c r="J372" s="137">
        <v>3.0</v>
      </c>
      <c r="K372" s="137">
        <v>2.0</v>
      </c>
      <c r="L372" s="137">
        <v>10.0</v>
      </c>
      <c r="M372" s="137">
        <v>13.0</v>
      </c>
    </row>
    <row r="373">
      <c r="A373" s="137">
        <v>6218.0</v>
      </c>
      <c r="B373" s="136" t="s">
        <v>1127</v>
      </c>
      <c r="C373" s="136" t="s">
        <v>1343</v>
      </c>
      <c r="D373" s="136" t="s">
        <v>944</v>
      </c>
      <c r="E373" s="136" t="s">
        <v>1167</v>
      </c>
      <c r="F373" s="137">
        <v>5.0</v>
      </c>
      <c r="G373" s="137">
        <v>12.0</v>
      </c>
      <c r="H373" s="137">
        <v>-7.0</v>
      </c>
      <c r="I373" s="137">
        <v>5.0</v>
      </c>
      <c r="J373" s="137">
        <v>12.0</v>
      </c>
      <c r="K373" s="137">
        <v>-7.0</v>
      </c>
      <c r="L373" s="137">
        <v>12.0</v>
      </c>
      <c r="M373" s="137">
        <v>15.0</v>
      </c>
    </row>
    <row r="374">
      <c r="A374" s="137">
        <v>4479.0</v>
      </c>
      <c r="B374" s="136" t="s">
        <v>1127</v>
      </c>
      <c r="C374" s="136" t="s">
        <v>1305</v>
      </c>
      <c r="D374" s="136" t="s">
        <v>753</v>
      </c>
      <c r="E374" s="136" t="s">
        <v>1155</v>
      </c>
      <c r="F374" s="137">
        <v>5.0</v>
      </c>
      <c r="G374" s="137">
        <v>11.0</v>
      </c>
      <c r="H374" s="137">
        <v>-6.0</v>
      </c>
      <c r="I374" s="137">
        <v>5.0</v>
      </c>
      <c r="J374" s="137">
        <v>11.0</v>
      </c>
      <c r="K374" s="137">
        <v>-6.0</v>
      </c>
      <c r="L374" s="137">
        <v>22.0</v>
      </c>
      <c r="M374" s="137">
        <v>24.0</v>
      </c>
    </row>
    <row r="375">
      <c r="A375" s="137">
        <v>7341.0</v>
      </c>
      <c r="B375" s="136" t="s">
        <v>1127</v>
      </c>
      <c r="C375" s="136" t="s">
        <v>1294</v>
      </c>
      <c r="D375" s="136" t="s">
        <v>1344</v>
      </c>
      <c r="E375" s="136" t="s">
        <v>1170</v>
      </c>
      <c r="F375" s="137">
        <v>5.0</v>
      </c>
      <c r="G375" s="137">
        <v>5.0</v>
      </c>
      <c r="H375" s="137">
        <v>0.0</v>
      </c>
      <c r="I375" s="137">
        <v>5.0</v>
      </c>
      <c r="J375" s="137">
        <v>5.0</v>
      </c>
      <c r="K375" s="137">
        <v>0.0</v>
      </c>
      <c r="L375" s="137">
        <v>11.0</v>
      </c>
      <c r="M375" s="137">
        <v>11.0</v>
      </c>
    </row>
    <row r="376">
      <c r="A376" s="137">
        <v>6112.0</v>
      </c>
      <c r="B376" s="136" t="s">
        <v>1127</v>
      </c>
      <c r="C376" s="136" t="s">
        <v>1299</v>
      </c>
      <c r="D376" s="136" t="s">
        <v>898</v>
      </c>
      <c r="E376" s="136" t="s">
        <v>1172</v>
      </c>
      <c r="F376" s="137">
        <v>5.0</v>
      </c>
      <c r="G376" s="137">
        <v>5.0</v>
      </c>
      <c r="H376" s="137">
        <v>0.0</v>
      </c>
      <c r="I376" s="137">
        <v>5.0</v>
      </c>
      <c r="J376" s="137">
        <v>5.0</v>
      </c>
      <c r="K376" s="137">
        <v>0.0</v>
      </c>
      <c r="L376" s="137">
        <v>13.0</v>
      </c>
      <c r="M376" s="137">
        <v>13.0</v>
      </c>
    </row>
    <row r="377">
      <c r="A377" s="137">
        <v>5685.0</v>
      </c>
      <c r="B377" s="136" t="s">
        <v>1127</v>
      </c>
      <c r="C377" s="136" t="s">
        <v>1295</v>
      </c>
      <c r="D377" s="136" t="s">
        <v>727</v>
      </c>
      <c r="E377" s="136" t="s">
        <v>1158</v>
      </c>
      <c r="F377" s="137">
        <v>4.0</v>
      </c>
      <c r="G377" s="137">
        <v>14.0</v>
      </c>
      <c r="H377" s="137">
        <v>-10.0</v>
      </c>
      <c r="I377" s="137">
        <v>4.0</v>
      </c>
      <c r="J377" s="137">
        <v>14.0</v>
      </c>
      <c r="K377" s="137">
        <v>-10.0</v>
      </c>
      <c r="L377" s="137">
        <v>14.0</v>
      </c>
      <c r="M377" s="137">
        <v>14.0</v>
      </c>
    </row>
    <row r="378">
      <c r="A378" s="137">
        <v>5457.0</v>
      </c>
      <c r="B378" s="136" t="s">
        <v>1127</v>
      </c>
      <c r="C378" s="136" t="s">
        <v>1294</v>
      </c>
      <c r="D378" s="136" t="s">
        <v>1345</v>
      </c>
      <c r="E378" s="136" t="s">
        <v>1160</v>
      </c>
      <c r="F378" s="137">
        <v>4.0</v>
      </c>
      <c r="G378" s="137">
        <v>6.0</v>
      </c>
      <c r="H378" s="137">
        <v>-2.0</v>
      </c>
      <c r="I378" s="137">
        <v>4.0</v>
      </c>
      <c r="J378" s="137">
        <v>7.0</v>
      </c>
      <c r="K378" s="137">
        <v>-3.0</v>
      </c>
      <c r="L378" s="137">
        <v>6.0</v>
      </c>
      <c r="M378" s="137">
        <v>8.0</v>
      </c>
    </row>
    <row r="379">
      <c r="A379" s="137">
        <v>5319.0</v>
      </c>
      <c r="B379" s="136" t="s">
        <v>1127</v>
      </c>
      <c r="C379" s="136" t="s">
        <v>1127</v>
      </c>
      <c r="D379" s="136" t="s">
        <v>947</v>
      </c>
      <c r="E379" s="136" t="s">
        <v>1169</v>
      </c>
      <c r="F379" s="137">
        <v>4.0</v>
      </c>
      <c r="G379" s="137">
        <v>12.0</v>
      </c>
      <c r="H379" s="137">
        <v>-8.0</v>
      </c>
      <c r="I379" s="137">
        <v>4.0</v>
      </c>
      <c r="J379" s="137">
        <v>12.0</v>
      </c>
      <c r="K379" s="137">
        <v>-8.0</v>
      </c>
      <c r="L379" s="137">
        <v>9.0</v>
      </c>
      <c r="M379" s="137">
        <v>9.0</v>
      </c>
    </row>
    <row r="380">
      <c r="A380" s="137">
        <v>7149.0</v>
      </c>
      <c r="B380" s="136" t="s">
        <v>1127</v>
      </c>
      <c r="C380" s="136" t="s">
        <v>1294</v>
      </c>
      <c r="D380" s="136" t="s">
        <v>1346</v>
      </c>
      <c r="E380" s="136" t="s">
        <v>1172</v>
      </c>
      <c r="F380" s="137">
        <v>4.0</v>
      </c>
      <c r="G380" s="137">
        <v>6.0</v>
      </c>
      <c r="H380" s="137">
        <v>-2.0</v>
      </c>
      <c r="I380" s="137">
        <v>4.0</v>
      </c>
      <c r="J380" s="137">
        <v>6.0</v>
      </c>
      <c r="K380" s="137">
        <v>-2.0</v>
      </c>
      <c r="L380" s="137">
        <v>11.0</v>
      </c>
      <c r="M380" s="137">
        <v>14.0</v>
      </c>
    </row>
    <row r="381">
      <c r="A381" s="137">
        <v>6271.0</v>
      </c>
      <c r="B381" s="136" t="s">
        <v>1127</v>
      </c>
      <c r="C381" s="136" t="s">
        <v>1294</v>
      </c>
      <c r="D381" s="136" t="s">
        <v>1058</v>
      </c>
      <c r="E381" s="136" t="s">
        <v>1153</v>
      </c>
      <c r="F381" s="137">
        <v>4.0</v>
      </c>
      <c r="G381" s="137">
        <v>9.0</v>
      </c>
      <c r="H381" s="137">
        <v>-5.0</v>
      </c>
      <c r="I381" s="137">
        <v>4.0</v>
      </c>
      <c r="J381" s="137">
        <v>9.0</v>
      </c>
      <c r="K381" s="137">
        <v>-5.0</v>
      </c>
      <c r="L381" s="137">
        <v>13.0</v>
      </c>
      <c r="M381" s="137">
        <v>16.0</v>
      </c>
    </row>
    <row r="382">
      <c r="A382" s="137">
        <v>6246.0</v>
      </c>
      <c r="B382" s="136" t="s">
        <v>1127</v>
      </c>
      <c r="C382" s="136" t="s">
        <v>1294</v>
      </c>
      <c r="D382" s="136" t="s">
        <v>1347</v>
      </c>
      <c r="E382" s="136" t="s">
        <v>1164</v>
      </c>
      <c r="F382" s="137">
        <v>4.0</v>
      </c>
      <c r="G382" s="137">
        <v>4.0</v>
      </c>
      <c r="H382" s="137">
        <v>0.0</v>
      </c>
      <c r="I382" s="137">
        <v>4.0</v>
      </c>
      <c r="J382" s="137">
        <v>4.0</v>
      </c>
      <c r="K382" s="137">
        <v>0.0</v>
      </c>
      <c r="L382" s="137">
        <v>8.0</v>
      </c>
      <c r="M382" s="137">
        <v>11.0</v>
      </c>
    </row>
    <row r="383">
      <c r="A383" s="137">
        <v>4890.0</v>
      </c>
      <c r="B383" s="136" t="s">
        <v>1127</v>
      </c>
      <c r="C383" s="136" t="s">
        <v>1294</v>
      </c>
      <c r="D383" s="136" t="s">
        <v>755</v>
      </c>
      <c r="E383" s="136" t="s">
        <v>1175</v>
      </c>
      <c r="F383" s="137">
        <v>4.0</v>
      </c>
      <c r="G383" s="137">
        <v>5.0</v>
      </c>
      <c r="H383" s="137">
        <v>-1.0</v>
      </c>
      <c r="I383" s="137">
        <v>4.0</v>
      </c>
      <c r="J383" s="137">
        <v>5.0</v>
      </c>
      <c r="K383" s="137">
        <v>-1.0</v>
      </c>
      <c r="L383" s="137">
        <v>9.0</v>
      </c>
      <c r="M383" s="137">
        <v>12.0</v>
      </c>
    </row>
    <row r="384">
      <c r="A384" s="137">
        <v>6170.0</v>
      </c>
      <c r="B384" s="136" t="s">
        <v>1127</v>
      </c>
      <c r="C384" s="136" t="s">
        <v>1127</v>
      </c>
      <c r="D384" s="136" t="s">
        <v>1348</v>
      </c>
      <c r="E384" s="136" t="s">
        <v>1175</v>
      </c>
      <c r="F384" s="137">
        <v>4.0</v>
      </c>
      <c r="G384" s="137">
        <v>5.0</v>
      </c>
      <c r="H384" s="137">
        <v>-1.0</v>
      </c>
      <c r="I384" s="137">
        <v>4.0</v>
      </c>
      <c r="J384" s="137">
        <v>5.0</v>
      </c>
      <c r="K384" s="137">
        <v>-1.0</v>
      </c>
      <c r="L384" s="137">
        <v>11.0</v>
      </c>
      <c r="M384" s="137">
        <v>11.0</v>
      </c>
    </row>
    <row r="385">
      <c r="A385" s="137">
        <v>4896.0</v>
      </c>
      <c r="B385" s="136" t="s">
        <v>1127</v>
      </c>
      <c r="C385" s="136" t="s">
        <v>1293</v>
      </c>
      <c r="D385" s="136" t="s">
        <v>941</v>
      </c>
      <c r="E385" s="136" t="s">
        <v>1157</v>
      </c>
      <c r="F385" s="137">
        <v>3.0</v>
      </c>
      <c r="G385" s="137">
        <v>9.0</v>
      </c>
      <c r="H385" s="137">
        <v>-6.0</v>
      </c>
      <c r="I385" s="137">
        <v>3.0</v>
      </c>
      <c r="J385" s="137">
        <v>8.0</v>
      </c>
      <c r="K385" s="137">
        <v>-5.0</v>
      </c>
      <c r="L385" s="137">
        <v>12.0</v>
      </c>
      <c r="M385" s="137">
        <v>12.0</v>
      </c>
    </row>
    <row r="386">
      <c r="A386" s="137">
        <v>4284.0</v>
      </c>
      <c r="B386" s="136" t="s">
        <v>1127</v>
      </c>
      <c r="C386" s="136" t="s">
        <v>1294</v>
      </c>
      <c r="D386" s="136" t="s">
        <v>990</v>
      </c>
      <c r="E386" s="136" t="s">
        <v>1156</v>
      </c>
      <c r="F386" s="137">
        <v>3.0</v>
      </c>
      <c r="G386" s="137">
        <v>4.0</v>
      </c>
      <c r="H386" s="137">
        <v>-1.0</v>
      </c>
      <c r="I386" s="137">
        <v>3.0</v>
      </c>
      <c r="J386" s="137">
        <v>4.0</v>
      </c>
      <c r="K386" s="137">
        <v>-1.0</v>
      </c>
      <c r="L386" s="137">
        <v>10.0</v>
      </c>
      <c r="M386" s="137">
        <v>10.0</v>
      </c>
    </row>
    <row r="387">
      <c r="A387" s="137">
        <v>2848.0</v>
      </c>
      <c r="B387" s="136" t="s">
        <v>1127</v>
      </c>
      <c r="C387" s="136" t="s">
        <v>1295</v>
      </c>
      <c r="D387" s="136" t="s">
        <v>607</v>
      </c>
      <c r="E387" s="136" t="s">
        <v>1161</v>
      </c>
      <c r="F387" s="137">
        <v>3.0</v>
      </c>
      <c r="G387" s="137">
        <v>14.0</v>
      </c>
      <c r="H387" s="137">
        <v>-11.0</v>
      </c>
      <c r="I387" s="137">
        <v>3.0</v>
      </c>
      <c r="J387" s="137">
        <v>14.0</v>
      </c>
      <c r="K387" s="137">
        <v>-11.0</v>
      </c>
      <c r="L387" s="137">
        <v>10.0</v>
      </c>
      <c r="M387" s="137">
        <v>10.0</v>
      </c>
    </row>
    <row r="388">
      <c r="A388" s="137">
        <v>6191.0</v>
      </c>
      <c r="B388" s="136" t="s">
        <v>1127</v>
      </c>
      <c r="C388" s="136" t="s">
        <v>1294</v>
      </c>
      <c r="D388" s="136" t="s">
        <v>1349</v>
      </c>
      <c r="E388" s="136" t="s">
        <v>1157</v>
      </c>
      <c r="F388" s="137">
        <v>3.0</v>
      </c>
      <c r="G388" s="137">
        <v>4.0</v>
      </c>
      <c r="H388" s="137">
        <v>-1.0</v>
      </c>
      <c r="I388" s="137">
        <v>3.0</v>
      </c>
      <c r="J388" s="137">
        <v>4.0</v>
      </c>
      <c r="K388" s="137">
        <v>-1.0</v>
      </c>
      <c r="L388" s="137">
        <v>7.0</v>
      </c>
      <c r="M388" s="137">
        <v>10.0</v>
      </c>
    </row>
    <row r="389">
      <c r="A389" s="137">
        <v>4459.0</v>
      </c>
      <c r="B389" s="136" t="s">
        <v>1127</v>
      </c>
      <c r="C389" s="136" t="s">
        <v>1294</v>
      </c>
      <c r="D389" s="136" t="s">
        <v>995</v>
      </c>
      <c r="E389" s="136" t="s">
        <v>1157</v>
      </c>
      <c r="F389" s="137">
        <v>3.0</v>
      </c>
      <c r="G389" s="137">
        <v>8.0</v>
      </c>
      <c r="H389" s="137">
        <v>-5.0</v>
      </c>
      <c r="I389" s="137">
        <v>3.0</v>
      </c>
      <c r="J389" s="137">
        <v>9.0</v>
      </c>
      <c r="K389" s="137">
        <v>-6.0</v>
      </c>
      <c r="L389" s="137">
        <v>12.0</v>
      </c>
      <c r="M389" s="137">
        <v>15.0</v>
      </c>
    </row>
    <row r="390">
      <c r="A390" s="137">
        <v>6629.0</v>
      </c>
      <c r="B390" s="136" t="s">
        <v>1127</v>
      </c>
      <c r="C390" s="136" t="s">
        <v>1295</v>
      </c>
      <c r="D390" s="136" t="s">
        <v>1009</v>
      </c>
      <c r="E390" s="136" t="s">
        <v>1157</v>
      </c>
      <c r="F390" s="137">
        <v>3.0</v>
      </c>
      <c r="G390" s="137">
        <v>11.0</v>
      </c>
      <c r="H390" s="137">
        <v>-8.0</v>
      </c>
      <c r="I390" s="137">
        <v>3.0</v>
      </c>
      <c r="J390" s="137">
        <v>11.0</v>
      </c>
      <c r="K390" s="137">
        <v>-8.0</v>
      </c>
      <c r="L390" s="137">
        <v>11.0</v>
      </c>
      <c r="M390" s="137">
        <v>11.0</v>
      </c>
    </row>
    <row r="391">
      <c r="A391" s="137">
        <v>5007.0</v>
      </c>
      <c r="B391" s="136" t="s">
        <v>1127</v>
      </c>
      <c r="C391" s="136" t="s">
        <v>1127</v>
      </c>
      <c r="D391" s="136" t="s">
        <v>828</v>
      </c>
      <c r="E391" s="136" t="s">
        <v>1175</v>
      </c>
      <c r="F391" s="137">
        <v>3.0</v>
      </c>
      <c r="G391" s="137">
        <v>7.0</v>
      </c>
      <c r="H391" s="137">
        <v>-4.0</v>
      </c>
      <c r="I391" s="137">
        <v>3.0</v>
      </c>
      <c r="J391" s="137">
        <v>7.0</v>
      </c>
      <c r="K391" s="137">
        <v>-4.0</v>
      </c>
      <c r="L391" s="137">
        <v>8.0</v>
      </c>
      <c r="M391" s="137">
        <v>8.0</v>
      </c>
    </row>
    <row r="392">
      <c r="A392" s="137">
        <v>5850.0</v>
      </c>
      <c r="B392" s="136" t="s">
        <v>1127</v>
      </c>
      <c r="C392" s="136" t="s">
        <v>1127</v>
      </c>
      <c r="D392" s="136" t="s">
        <v>635</v>
      </c>
      <c r="E392" s="136" t="s">
        <v>1173</v>
      </c>
      <c r="F392" s="137">
        <v>3.0</v>
      </c>
      <c r="G392" s="137">
        <v>9.0</v>
      </c>
      <c r="H392" s="137">
        <v>-6.0</v>
      </c>
      <c r="I392" s="137">
        <v>3.0</v>
      </c>
      <c r="J392" s="137">
        <v>9.0</v>
      </c>
      <c r="K392" s="137">
        <v>-6.0</v>
      </c>
      <c r="L392" s="137">
        <v>8.0</v>
      </c>
      <c r="M392" s="137">
        <v>8.0</v>
      </c>
    </row>
    <row r="393">
      <c r="A393" s="137">
        <v>5688.0</v>
      </c>
      <c r="B393" s="136" t="s">
        <v>1127</v>
      </c>
      <c r="C393" s="136" t="s">
        <v>1305</v>
      </c>
      <c r="D393" s="136" t="s">
        <v>843</v>
      </c>
      <c r="E393" s="136" t="s">
        <v>1173</v>
      </c>
      <c r="F393" s="137">
        <v>3.0</v>
      </c>
      <c r="G393" s="137">
        <v>7.0</v>
      </c>
      <c r="H393" s="137">
        <v>-4.0</v>
      </c>
      <c r="I393" s="137">
        <v>3.0</v>
      </c>
      <c r="J393" s="137">
        <v>7.0</v>
      </c>
      <c r="K393" s="137">
        <v>-4.0</v>
      </c>
      <c r="L393" s="137">
        <v>10.0</v>
      </c>
      <c r="M393" s="137">
        <v>12.0</v>
      </c>
    </row>
    <row r="394">
      <c r="A394" s="137">
        <v>7203.0</v>
      </c>
      <c r="B394" s="136" t="s">
        <v>1127</v>
      </c>
      <c r="C394" s="136" t="s">
        <v>1127</v>
      </c>
      <c r="D394" s="136" t="s">
        <v>1053</v>
      </c>
      <c r="E394" s="136" t="s">
        <v>1152</v>
      </c>
      <c r="F394" s="137">
        <v>3.0</v>
      </c>
      <c r="G394" s="137">
        <v>13.0</v>
      </c>
      <c r="H394" s="137">
        <v>-10.0</v>
      </c>
      <c r="I394" s="137">
        <v>3.0</v>
      </c>
      <c r="J394" s="137">
        <v>13.0</v>
      </c>
      <c r="K394" s="137">
        <v>-10.0</v>
      </c>
      <c r="L394" s="137">
        <v>11.0</v>
      </c>
      <c r="M394" s="137">
        <v>11.0</v>
      </c>
    </row>
    <row r="395">
      <c r="A395" s="137">
        <v>7208.0</v>
      </c>
      <c r="B395" s="136" t="s">
        <v>1127</v>
      </c>
      <c r="C395" s="136" t="s">
        <v>1294</v>
      </c>
      <c r="D395" s="136" t="s">
        <v>1350</v>
      </c>
      <c r="E395" s="136" t="s">
        <v>1168</v>
      </c>
      <c r="F395" s="137">
        <v>3.0</v>
      </c>
      <c r="G395" s="137">
        <v>3.0</v>
      </c>
      <c r="H395" s="137">
        <v>0.0</v>
      </c>
      <c r="I395" s="137">
        <v>3.0</v>
      </c>
      <c r="J395" s="137">
        <v>4.0</v>
      </c>
      <c r="K395" s="137">
        <v>-1.0</v>
      </c>
      <c r="L395" s="137">
        <v>10.0</v>
      </c>
      <c r="M395" s="137">
        <v>12.0</v>
      </c>
    </row>
    <row r="396">
      <c r="A396" s="137">
        <v>6677.0</v>
      </c>
      <c r="B396" s="136" t="s">
        <v>1127</v>
      </c>
      <c r="C396" s="136" t="s">
        <v>1295</v>
      </c>
      <c r="D396" s="136" t="s">
        <v>1351</v>
      </c>
      <c r="E396" s="136" t="s">
        <v>1158</v>
      </c>
      <c r="F396" s="137">
        <v>3.0</v>
      </c>
      <c r="G396" s="137">
        <v>1.0</v>
      </c>
      <c r="H396" s="137">
        <v>2.0</v>
      </c>
      <c r="I396" s="137">
        <v>3.0</v>
      </c>
      <c r="J396" s="137">
        <v>1.0</v>
      </c>
      <c r="K396" s="137">
        <v>2.0</v>
      </c>
      <c r="L396" s="137">
        <v>1.0</v>
      </c>
      <c r="M396" s="137">
        <v>1.0</v>
      </c>
    </row>
    <row r="397">
      <c r="A397" s="137">
        <v>7010.0</v>
      </c>
      <c r="B397" s="136" t="s">
        <v>1127</v>
      </c>
      <c r="C397" s="136" t="s">
        <v>1294</v>
      </c>
      <c r="D397" s="136" t="s">
        <v>1352</v>
      </c>
      <c r="E397" s="136" t="s">
        <v>1173</v>
      </c>
      <c r="F397" s="137">
        <v>3.0</v>
      </c>
      <c r="G397" s="137">
        <v>4.0</v>
      </c>
      <c r="H397" s="137">
        <v>-1.0</v>
      </c>
      <c r="I397" s="137">
        <v>3.0</v>
      </c>
      <c r="J397" s="137">
        <v>5.0</v>
      </c>
      <c r="K397" s="137">
        <v>-2.0</v>
      </c>
      <c r="L397" s="137">
        <v>7.0</v>
      </c>
      <c r="M397" s="137">
        <v>8.0</v>
      </c>
    </row>
    <row r="398">
      <c r="A398" s="137">
        <v>4349.0</v>
      </c>
      <c r="B398" s="136" t="s">
        <v>1127</v>
      </c>
      <c r="C398" s="136" t="s">
        <v>1294</v>
      </c>
      <c r="D398" s="136" t="s">
        <v>1353</v>
      </c>
      <c r="E398" s="136" t="s">
        <v>1167</v>
      </c>
      <c r="F398" s="137">
        <v>3.0</v>
      </c>
      <c r="G398" s="137">
        <v>9.0</v>
      </c>
      <c r="H398" s="137">
        <v>-6.0</v>
      </c>
      <c r="I398" s="137">
        <v>3.0</v>
      </c>
      <c r="J398" s="137">
        <v>10.0</v>
      </c>
      <c r="K398" s="137">
        <v>-7.0</v>
      </c>
      <c r="L398" s="137">
        <v>10.0</v>
      </c>
      <c r="M398" s="137">
        <v>13.0</v>
      </c>
    </row>
    <row r="399">
      <c r="A399" s="137">
        <v>7036.0</v>
      </c>
      <c r="B399" s="136" t="s">
        <v>1127</v>
      </c>
      <c r="C399" s="136" t="s">
        <v>1295</v>
      </c>
      <c r="D399" s="136" t="s">
        <v>1354</v>
      </c>
      <c r="E399" s="136" t="s">
        <v>1164</v>
      </c>
      <c r="F399" s="137">
        <v>3.0</v>
      </c>
      <c r="G399" s="137">
        <v>3.0</v>
      </c>
      <c r="H399" s="137">
        <v>0.0</v>
      </c>
      <c r="I399" s="137">
        <v>3.0</v>
      </c>
      <c r="J399" s="137">
        <v>3.0</v>
      </c>
      <c r="K399" s="137">
        <v>0.0</v>
      </c>
      <c r="L399" s="137">
        <v>8.0</v>
      </c>
      <c r="M399" s="137">
        <v>8.0</v>
      </c>
    </row>
    <row r="400">
      <c r="A400" s="137">
        <v>6024.0</v>
      </c>
      <c r="B400" s="136" t="s">
        <v>1127</v>
      </c>
      <c r="C400" s="136" t="s">
        <v>1294</v>
      </c>
      <c r="D400" s="136" t="s">
        <v>1355</v>
      </c>
      <c r="E400" s="136" t="s">
        <v>1162</v>
      </c>
      <c r="F400" s="137">
        <v>2.0</v>
      </c>
      <c r="G400" s="137">
        <v>4.0</v>
      </c>
      <c r="H400" s="137">
        <v>-2.0</v>
      </c>
      <c r="I400" s="137">
        <v>2.0</v>
      </c>
      <c r="J400" s="137">
        <v>4.0</v>
      </c>
      <c r="K400" s="137">
        <v>-2.0</v>
      </c>
      <c r="L400" s="137">
        <v>10.0</v>
      </c>
      <c r="M400" s="137">
        <v>11.0</v>
      </c>
    </row>
    <row r="401">
      <c r="A401" s="137">
        <v>7132.0</v>
      </c>
      <c r="B401" s="136" t="s">
        <v>1127</v>
      </c>
      <c r="C401" s="136" t="s">
        <v>1294</v>
      </c>
      <c r="D401" s="136" t="s">
        <v>1098</v>
      </c>
      <c r="E401" s="136" t="s">
        <v>1160</v>
      </c>
      <c r="F401" s="137">
        <v>2.0</v>
      </c>
      <c r="G401" s="137">
        <v>8.0</v>
      </c>
      <c r="H401" s="137">
        <v>-6.0</v>
      </c>
      <c r="I401" s="137">
        <v>2.0</v>
      </c>
      <c r="J401" s="137">
        <v>9.0</v>
      </c>
      <c r="K401" s="137">
        <v>-7.0</v>
      </c>
      <c r="L401" s="137">
        <v>13.0</v>
      </c>
      <c r="M401" s="137">
        <v>16.0</v>
      </c>
    </row>
    <row r="402">
      <c r="A402" s="137">
        <v>6010.0</v>
      </c>
      <c r="B402" s="136" t="s">
        <v>1127</v>
      </c>
      <c r="C402" s="136" t="s">
        <v>1295</v>
      </c>
      <c r="D402" s="136" t="s">
        <v>945</v>
      </c>
      <c r="E402" s="136" t="s">
        <v>1165</v>
      </c>
      <c r="F402" s="137">
        <v>2.0</v>
      </c>
      <c r="G402" s="137">
        <v>11.0</v>
      </c>
      <c r="H402" s="137">
        <v>-9.0</v>
      </c>
      <c r="I402" s="137">
        <v>2.0</v>
      </c>
      <c r="J402" s="137">
        <v>11.0</v>
      </c>
      <c r="K402" s="137">
        <v>-9.0</v>
      </c>
      <c r="L402" s="137">
        <v>8.0</v>
      </c>
      <c r="M402" s="137">
        <v>8.0</v>
      </c>
    </row>
    <row r="403">
      <c r="A403" s="137">
        <v>5788.0</v>
      </c>
      <c r="B403" s="136" t="s">
        <v>1127</v>
      </c>
      <c r="C403" s="136" t="s">
        <v>1297</v>
      </c>
      <c r="D403" s="136" t="s">
        <v>622</v>
      </c>
      <c r="E403" s="136" t="s">
        <v>1165</v>
      </c>
      <c r="F403" s="137">
        <v>2.0</v>
      </c>
      <c r="G403" s="137">
        <v>2.0</v>
      </c>
      <c r="H403" s="137">
        <v>0.0</v>
      </c>
      <c r="I403" s="137">
        <v>2.0</v>
      </c>
      <c r="J403" s="137">
        <v>2.0</v>
      </c>
      <c r="K403" s="137">
        <v>0.0</v>
      </c>
      <c r="L403" s="137">
        <v>4.0</v>
      </c>
      <c r="M403" s="137">
        <v>4.0</v>
      </c>
    </row>
    <row r="404">
      <c r="A404" s="137">
        <v>5872.0</v>
      </c>
      <c r="B404" s="136" t="s">
        <v>1127</v>
      </c>
      <c r="C404" s="136" t="s">
        <v>1295</v>
      </c>
      <c r="D404" s="136" t="s">
        <v>1356</v>
      </c>
      <c r="E404" s="136" t="s">
        <v>1159</v>
      </c>
      <c r="F404" s="137">
        <v>2.0</v>
      </c>
      <c r="G404" s="137">
        <v>8.0</v>
      </c>
      <c r="H404" s="137">
        <v>-6.0</v>
      </c>
      <c r="I404" s="137">
        <v>2.0</v>
      </c>
      <c r="J404" s="137">
        <v>8.0</v>
      </c>
      <c r="K404" s="137">
        <v>-6.0</v>
      </c>
      <c r="L404" s="137">
        <v>7.0</v>
      </c>
      <c r="M404" s="137">
        <v>7.0</v>
      </c>
    </row>
    <row r="405">
      <c r="A405" s="137">
        <v>7138.0</v>
      </c>
      <c r="B405" s="136" t="s">
        <v>1127</v>
      </c>
      <c r="C405" s="136" t="s">
        <v>1294</v>
      </c>
      <c r="D405" s="136" t="s">
        <v>1357</v>
      </c>
      <c r="E405" s="136" t="s">
        <v>1167</v>
      </c>
      <c r="F405" s="137">
        <v>2.0</v>
      </c>
      <c r="G405" s="137">
        <v>5.0</v>
      </c>
      <c r="H405" s="137">
        <v>-3.0</v>
      </c>
      <c r="I405" s="137">
        <v>2.0</v>
      </c>
      <c r="J405" s="137">
        <v>6.0</v>
      </c>
      <c r="K405" s="137">
        <v>-4.0</v>
      </c>
      <c r="L405" s="137">
        <v>10.0</v>
      </c>
      <c r="M405" s="137">
        <v>13.0</v>
      </c>
    </row>
    <row r="406">
      <c r="A406" s="137">
        <v>7150.0</v>
      </c>
      <c r="B406" s="136" t="s">
        <v>1127</v>
      </c>
      <c r="C406" s="136" t="s">
        <v>1127</v>
      </c>
      <c r="D406" s="136" t="s">
        <v>1358</v>
      </c>
      <c r="E406" s="136" t="s">
        <v>1172</v>
      </c>
      <c r="F406" s="137">
        <v>2.0</v>
      </c>
      <c r="G406" s="137">
        <v>3.0</v>
      </c>
      <c r="H406" s="137">
        <v>-1.0</v>
      </c>
      <c r="I406" s="137">
        <v>2.0</v>
      </c>
      <c r="J406" s="137">
        <v>3.0</v>
      </c>
      <c r="K406" s="137">
        <v>-1.0</v>
      </c>
      <c r="L406" s="137">
        <v>6.0</v>
      </c>
      <c r="M406" s="137">
        <v>6.0</v>
      </c>
    </row>
    <row r="407">
      <c r="A407" s="137">
        <v>6219.0</v>
      </c>
      <c r="B407" s="136" t="s">
        <v>1127</v>
      </c>
      <c r="C407" s="136" t="s">
        <v>1294</v>
      </c>
      <c r="D407" s="136" t="s">
        <v>891</v>
      </c>
      <c r="E407" s="136" t="s">
        <v>1164</v>
      </c>
      <c r="F407" s="137">
        <v>2.0</v>
      </c>
      <c r="G407" s="137">
        <v>6.0</v>
      </c>
      <c r="H407" s="137">
        <v>-4.0</v>
      </c>
      <c r="I407" s="137">
        <v>2.0</v>
      </c>
      <c r="J407" s="137">
        <v>6.0</v>
      </c>
      <c r="K407" s="137">
        <v>-4.0</v>
      </c>
      <c r="L407" s="137">
        <v>4.0</v>
      </c>
      <c r="M407" s="137">
        <v>6.0</v>
      </c>
    </row>
    <row r="408">
      <c r="A408" s="137">
        <v>6889.0</v>
      </c>
      <c r="B408" s="136" t="s">
        <v>1127</v>
      </c>
      <c r="C408" s="136" t="s">
        <v>1295</v>
      </c>
      <c r="D408" s="136" t="s">
        <v>1359</v>
      </c>
      <c r="E408" s="136" t="s">
        <v>1175</v>
      </c>
      <c r="F408" s="137">
        <v>2.0</v>
      </c>
      <c r="G408" s="137">
        <v>10.0</v>
      </c>
      <c r="H408" s="137">
        <v>-8.0</v>
      </c>
      <c r="I408" s="137">
        <v>2.0</v>
      </c>
      <c r="J408" s="137">
        <v>10.0</v>
      </c>
      <c r="K408" s="137">
        <v>-8.0</v>
      </c>
      <c r="L408" s="137">
        <v>10.0</v>
      </c>
      <c r="M408" s="137">
        <v>10.0</v>
      </c>
    </row>
    <row r="409">
      <c r="A409" s="137">
        <v>6212.0</v>
      </c>
      <c r="B409" s="136" t="s">
        <v>1127</v>
      </c>
      <c r="C409" s="136" t="s">
        <v>1294</v>
      </c>
      <c r="D409" s="136" t="s">
        <v>1360</v>
      </c>
      <c r="E409" s="136" t="s">
        <v>1168</v>
      </c>
      <c r="F409" s="137">
        <v>2.0</v>
      </c>
      <c r="G409" s="137">
        <v>2.0</v>
      </c>
      <c r="H409" s="137">
        <v>0.0</v>
      </c>
      <c r="I409" s="137">
        <v>2.0</v>
      </c>
      <c r="J409" s="137">
        <v>2.0</v>
      </c>
      <c r="K409" s="137">
        <v>0.0</v>
      </c>
      <c r="L409" s="137">
        <v>6.0</v>
      </c>
      <c r="M409" s="137">
        <v>7.0</v>
      </c>
    </row>
    <row r="410">
      <c r="A410" s="137">
        <v>6005.0</v>
      </c>
      <c r="B410" s="136" t="s">
        <v>1127</v>
      </c>
      <c r="C410" s="136" t="s">
        <v>1295</v>
      </c>
      <c r="D410" s="136" t="s">
        <v>1361</v>
      </c>
      <c r="E410" s="136" t="s">
        <v>1175</v>
      </c>
      <c r="F410" s="137">
        <v>2.0</v>
      </c>
      <c r="G410" s="137">
        <v>1.0</v>
      </c>
      <c r="H410" s="137">
        <v>1.0</v>
      </c>
      <c r="I410" s="137">
        <v>2.0</v>
      </c>
      <c r="J410" s="137">
        <v>1.0</v>
      </c>
      <c r="K410" s="137">
        <v>1.0</v>
      </c>
      <c r="L410" s="137">
        <v>10.0</v>
      </c>
      <c r="M410" s="137">
        <v>10.0</v>
      </c>
    </row>
    <row r="411">
      <c r="A411" s="137">
        <v>7223.0</v>
      </c>
      <c r="B411" s="136" t="s">
        <v>1127</v>
      </c>
      <c r="C411" s="136" t="s">
        <v>1305</v>
      </c>
      <c r="D411" s="136" t="s">
        <v>1362</v>
      </c>
      <c r="E411" s="136" t="s">
        <v>1155</v>
      </c>
      <c r="F411" s="137">
        <v>2.0</v>
      </c>
      <c r="G411" s="137">
        <v>1.0</v>
      </c>
      <c r="H411" s="137">
        <v>1.0</v>
      </c>
      <c r="I411" s="137">
        <v>2.0</v>
      </c>
      <c r="J411" s="137">
        <v>1.0</v>
      </c>
      <c r="K411" s="137">
        <v>1.0</v>
      </c>
      <c r="L411" s="137">
        <v>23.0</v>
      </c>
      <c r="M411" s="137">
        <v>23.0</v>
      </c>
    </row>
    <row r="412">
      <c r="A412" s="137">
        <v>6274.0</v>
      </c>
      <c r="B412" s="136" t="s">
        <v>1127</v>
      </c>
      <c r="C412" s="136" t="s">
        <v>1127</v>
      </c>
      <c r="D412" s="136" t="s">
        <v>1363</v>
      </c>
      <c r="E412" s="136" t="s">
        <v>1161</v>
      </c>
      <c r="F412" s="137">
        <v>2.0</v>
      </c>
      <c r="G412" s="137">
        <v>7.0</v>
      </c>
      <c r="H412" s="137">
        <v>-5.0</v>
      </c>
      <c r="I412" s="137">
        <v>2.0</v>
      </c>
      <c r="J412" s="137">
        <v>7.0</v>
      </c>
      <c r="K412" s="137">
        <v>-5.0</v>
      </c>
      <c r="L412" s="137">
        <v>10.0</v>
      </c>
      <c r="M412" s="137">
        <v>10.0</v>
      </c>
    </row>
    <row r="413">
      <c r="A413" s="137">
        <v>5610.0</v>
      </c>
      <c r="B413" s="136" t="s">
        <v>1127</v>
      </c>
      <c r="C413" s="136" t="s">
        <v>1294</v>
      </c>
      <c r="D413" s="136" t="s">
        <v>1364</v>
      </c>
      <c r="E413" s="136" t="s">
        <v>1164</v>
      </c>
      <c r="F413" s="137">
        <v>2.0</v>
      </c>
      <c r="G413" s="137">
        <v>4.0</v>
      </c>
      <c r="H413" s="137">
        <v>-2.0</v>
      </c>
      <c r="I413" s="137">
        <v>2.0</v>
      </c>
      <c r="J413" s="137">
        <v>5.0</v>
      </c>
      <c r="K413" s="137">
        <v>-3.0</v>
      </c>
      <c r="L413" s="137">
        <v>10.0</v>
      </c>
      <c r="M413" s="137">
        <v>13.0</v>
      </c>
    </row>
    <row r="414">
      <c r="A414" s="137">
        <v>7248.0</v>
      </c>
      <c r="B414" s="136" t="s">
        <v>1127</v>
      </c>
      <c r="C414" s="136" t="s">
        <v>1294</v>
      </c>
      <c r="D414" s="136" t="s">
        <v>1365</v>
      </c>
      <c r="E414" s="136" t="s">
        <v>1159</v>
      </c>
      <c r="F414" s="137">
        <v>2.0</v>
      </c>
      <c r="G414" s="137">
        <v>1.0</v>
      </c>
      <c r="H414" s="137">
        <v>1.0</v>
      </c>
      <c r="I414" s="137">
        <v>2.0</v>
      </c>
      <c r="J414" s="137">
        <v>1.0</v>
      </c>
      <c r="K414" s="137">
        <v>1.0</v>
      </c>
      <c r="L414" s="137">
        <v>1.0</v>
      </c>
      <c r="M414" s="137">
        <v>1.0</v>
      </c>
    </row>
    <row r="415">
      <c r="A415" s="137">
        <v>6538.0</v>
      </c>
      <c r="B415" s="136" t="s">
        <v>1127</v>
      </c>
      <c r="C415" s="136" t="s">
        <v>1294</v>
      </c>
      <c r="D415" s="136" t="s">
        <v>1366</v>
      </c>
      <c r="E415" s="136" t="s">
        <v>1170</v>
      </c>
      <c r="F415" s="137">
        <v>2.0</v>
      </c>
      <c r="G415" s="137">
        <v>2.0</v>
      </c>
      <c r="H415" s="137">
        <v>0.0</v>
      </c>
      <c r="I415" s="137">
        <v>2.0</v>
      </c>
      <c r="J415" s="137">
        <v>2.0</v>
      </c>
      <c r="K415" s="137">
        <v>0.0</v>
      </c>
      <c r="L415" s="137">
        <v>4.0</v>
      </c>
      <c r="M415" s="137">
        <v>4.0</v>
      </c>
    </row>
    <row r="416">
      <c r="A416" s="137">
        <v>4677.0</v>
      </c>
      <c r="B416" s="136" t="s">
        <v>1127</v>
      </c>
      <c r="C416" s="136" t="s">
        <v>1308</v>
      </c>
      <c r="D416" s="136" t="s">
        <v>1367</v>
      </c>
      <c r="E416" s="136" t="s">
        <v>1170</v>
      </c>
      <c r="F416" s="137">
        <v>2.0</v>
      </c>
      <c r="G416" s="137">
        <v>7.0</v>
      </c>
      <c r="H416" s="137">
        <v>-5.0</v>
      </c>
      <c r="I416" s="137">
        <v>2.0</v>
      </c>
      <c r="J416" s="137">
        <v>7.0</v>
      </c>
      <c r="K416" s="137">
        <v>-5.0</v>
      </c>
      <c r="L416" s="137">
        <v>5.0</v>
      </c>
      <c r="M416" s="137">
        <v>5.0</v>
      </c>
    </row>
    <row r="417">
      <c r="A417" s="137">
        <v>5286.0</v>
      </c>
      <c r="B417" s="136" t="s">
        <v>1127</v>
      </c>
      <c r="C417" s="136" t="s">
        <v>1294</v>
      </c>
      <c r="D417" s="136" t="s">
        <v>1368</v>
      </c>
      <c r="E417" s="136" t="s">
        <v>1173</v>
      </c>
      <c r="F417" s="137">
        <v>2.0</v>
      </c>
      <c r="G417" s="137">
        <v>1.0</v>
      </c>
      <c r="H417" s="137">
        <v>1.0</v>
      </c>
      <c r="I417" s="137">
        <v>2.0</v>
      </c>
      <c r="J417" s="137">
        <v>1.0</v>
      </c>
      <c r="K417" s="137">
        <v>1.0</v>
      </c>
      <c r="L417" s="137">
        <v>6.0</v>
      </c>
      <c r="M417" s="137">
        <v>8.0</v>
      </c>
    </row>
    <row r="418">
      <c r="A418" s="137">
        <v>7345.0</v>
      </c>
      <c r="B418" s="136" t="s">
        <v>1127</v>
      </c>
      <c r="C418" s="136" t="s">
        <v>1305</v>
      </c>
      <c r="D418" s="136" t="s">
        <v>1369</v>
      </c>
      <c r="E418" s="136" t="s">
        <v>1157</v>
      </c>
      <c r="F418" s="137">
        <v>2.0</v>
      </c>
      <c r="G418" s="137">
        <v>2.0</v>
      </c>
      <c r="H418" s="137">
        <v>0.0</v>
      </c>
      <c r="I418" s="137">
        <v>2.0</v>
      </c>
      <c r="J418" s="137">
        <v>2.0</v>
      </c>
      <c r="K418" s="137">
        <v>0.0</v>
      </c>
      <c r="L418" s="137">
        <v>6.0</v>
      </c>
      <c r="M418" s="137">
        <v>6.0</v>
      </c>
    </row>
    <row r="419">
      <c r="A419" s="137">
        <v>7357.0</v>
      </c>
      <c r="B419" s="136" t="s">
        <v>1127</v>
      </c>
      <c r="C419" s="136" t="s">
        <v>1295</v>
      </c>
      <c r="D419" s="136" t="s">
        <v>1370</v>
      </c>
      <c r="E419" s="136" t="s">
        <v>1156</v>
      </c>
      <c r="F419" s="137">
        <v>2.0</v>
      </c>
      <c r="G419" s="137">
        <v>2.0</v>
      </c>
      <c r="H419" s="137">
        <v>0.0</v>
      </c>
      <c r="I419" s="137">
        <v>2.0</v>
      </c>
      <c r="J419" s="137">
        <v>2.0</v>
      </c>
      <c r="K419" s="137">
        <v>0.0</v>
      </c>
      <c r="L419" s="137">
        <v>9.0</v>
      </c>
      <c r="M419" s="137">
        <v>9.0</v>
      </c>
    </row>
    <row r="420">
      <c r="A420" s="137">
        <v>7165.0</v>
      </c>
      <c r="B420" s="136" t="s">
        <v>1127</v>
      </c>
      <c r="C420" s="136" t="s">
        <v>1294</v>
      </c>
      <c r="D420" s="136" t="s">
        <v>1371</v>
      </c>
      <c r="E420" s="136" t="s">
        <v>1162</v>
      </c>
      <c r="F420" s="137">
        <v>1.0</v>
      </c>
      <c r="G420" s="137">
        <v>1.0</v>
      </c>
      <c r="H420" s="137">
        <v>0.0</v>
      </c>
      <c r="I420" s="137">
        <v>1.0</v>
      </c>
      <c r="J420" s="137">
        <v>1.0</v>
      </c>
      <c r="K420" s="137">
        <v>0.0</v>
      </c>
      <c r="L420" s="137">
        <v>6.0</v>
      </c>
      <c r="M420" s="137">
        <v>8.0</v>
      </c>
    </row>
    <row r="421">
      <c r="A421" s="137">
        <v>6980.0</v>
      </c>
      <c r="B421" s="136" t="s">
        <v>1127</v>
      </c>
      <c r="C421" s="136" t="s">
        <v>1308</v>
      </c>
      <c r="D421" s="136" t="s">
        <v>1372</v>
      </c>
      <c r="E421" s="136" t="s">
        <v>1153</v>
      </c>
      <c r="F421" s="137">
        <v>1.0</v>
      </c>
      <c r="G421" s="137">
        <v>3.0</v>
      </c>
      <c r="H421" s="137">
        <v>-2.0</v>
      </c>
      <c r="I421" s="137">
        <v>1.0</v>
      </c>
      <c r="J421" s="137">
        <v>3.0</v>
      </c>
      <c r="K421" s="137">
        <v>-2.0</v>
      </c>
      <c r="L421" s="137">
        <v>11.0</v>
      </c>
      <c r="M421" s="137">
        <v>11.0</v>
      </c>
    </row>
    <row r="422">
      <c r="A422" s="137">
        <v>6645.0</v>
      </c>
      <c r="B422" s="136" t="s">
        <v>1127</v>
      </c>
      <c r="C422" s="136" t="s">
        <v>1297</v>
      </c>
      <c r="D422" s="136" t="s">
        <v>952</v>
      </c>
      <c r="E422" s="136" t="s">
        <v>1159</v>
      </c>
      <c r="F422" s="137">
        <v>1.0</v>
      </c>
      <c r="G422" s="137">
        <v>1.0</v>
      </c>
      <c r="H422" s="137">
        <v>0.0</v>
      </c>
      <c r="I422" s="137">
        <v>1.0</v>
      </c>
      <c r="J422" s="137">
        <v>1.0</v>
      </c>
      <c r="K422" s="137">
        <v>0.0</v>
      </c>
      <c r="L422" s="137">
        <v>2.0</v>
      </c>
      <c r="M422" s="137">
        <v>2.0</v>
      </c>
    </row>
    <row r="423">
      <c r="A423" s="137">
        <v>7147.0</v>
      </c>
      <c r="B423" s="136" t="s">
        <v>1127</v>
      </c>
      <c r="C423" s="136" t="s">
        <v>1294</v>
      </c>
      <c r="D423" s="136" t="s">
        <v>1373</v>
      </c>
      <c r="E423" s="136" t="s">
        <v>1172</v>
      </c>
      <c r="F423" s="137">
        <v>1.0</v>
      </c>
      <c r="G423" s="137">
        <v>1.0</v>
      </c>
      <c r="H423" s="137">
        <v>0.0</v>
      </c>
      <c r="I423" s="137">
        <v>1.0</v>
      </c>
      <c r="J423" s="137">
        <v>1.0</v>
      </c>
      <c r="K423" s="137">
        <v>0.0</v>
      </c>
      <c r="L423" s="137">
        <v>2.0</v>
      </c>
      <c r="M423" s="137">
        <v>2.0</v>
      </c>
    </row>
    <row r="424">
      <c r="A424" s="137">
        <v>6486.0</v>
      </c>
      <c r="B424" s="136" t="s">
        <v>1127</v>
      </c>
      <c r="C424" s="136" t="s">
        <v>1305</v>
      </c>
      <c r="D424" s="136" t="s">
        <v>998</v>
      </c>
      <c r="E424" s="136" t="s">
        <v>1173</v>
      </c>
      <c r="F424" s="137">
        <v>1.0</v>
      </c>
      <c r="G424" s="137">
        <v>9.0</v>
      </c>
      <c r="H424" s="137">
        <v>-8.0</v>
      </c>
      <c r="I424" s="137">
        <v>1.0</v>
      </c>
      <c r="J424" s="137">
        <v>9.0</v>
      </c>
      <c r="K424" s="137">
        <v>-8.0</v>
      </c>
      <c r="L424" s="137">
        <v>14.0</v>
      </c>
      <c r="M424" s="137">
        <v>14.0</v>
      </c>
    </row>
    <row r="425">
      <c r="A425" s="137">
        <v>7025.0</v>
      </c>
      <c r="B425" s="136" t="s">
        <v>1127</v>
      </c>
      <c r="C425" s="136" t="s">
        <v>1305</v>
      </c>
      <c r="D425" s="136" t="s">
        <v>1374</v>
      </c>
      <c r="E425" s="136" t="s">
        <v>1170</v>
      </c>
      <c r="F425" s="137">
        <v>1.0</v>
      </c>
      <c r="G425" s="137">
        <v>1.0</v>
      </c>
      <c r="H425" s="137">
        <v>0.0</v>
      </c>
      <c r="I425" s="137">
        <v>1.0</v>
      </c>
      <c r="J425" s="137">
        <v>1.0</v>
      </c>
      <c r="K425" s="137">
        <v>0.0</v>
      </c>
      <c r="L425" s="137">
        <v>1.0</v>
      </c>
      <c r="M425" s="137">
        <v>1.0</v>
      </c>
    </row>
    <row r="426">
      <c r="A426" s="137">
        <v>7246.0</v>
      </c>
      <c r="B426" s="136" t="s">
        <v>1127</v>
      </c>
      <c r="C426" s="136" t="s">
        <v>1127</v>
      </c>
      <c r="D426" s="136" t="s">
        <v>1375</v>
      </c>
      <c r="E426" s="136" t="s">
        <v>1159</v>
      </c>
      <c r="F426" s="137">
        <v>1.0</v>
      </c>
      <c r="G426" s="137">
        <v>3.0</v>
      </c>
      <c r="H426" s="137">
        <v>-2.0</v>
      </c>
      <c r="I426" s="137">
        <v>1.0</v>
      </c>
      <c r="J426" s="137">
        <v>3.0</v>
      </c>
      <c r="K426" s="137">
        <v>-2.0</v>
      </c>
      <c r="L426" s="137">
        <v>9.0</v>
      </c>
      <c r="M426" s="137">
        <v>9.0</v>
      </c>
    </row>
    <row r="427">
      <c r="A427" s="137">
        <v>5561.0</v>
      </c>
      <c r="B427" s="136" t="s">
        <v>1127</v>
      </c>
      <c r="C427" s="136" t="s">
        <v>1305</v>
      </c>
      <c r="D427" s="136" t="s">
        <v>1100</v>
      </c>
      <c r="E427" s="136" t="s">
        <v>1172</v>
      </c>
      <c r="F427" s="137">
        <v>1.0</v>
      </c>
      <c r="G427" s="137">
        <v>11.0</v>
      </c>
      <c r="H427" s="137">
        <v>-10.0</v>
      </c>
      <c r="I427" s="137">
        <v>1.0</v>
      </c>
      <c r="J427" s="137">
        <v>11.0</v>
      </c>
      <c r="K427" s="137">
        <v>-10.0</v>
      </c>
      <c r="L427" s="137">
        <v>13.0</v>
      </c>
      <c r="M427" s="137">
        <v>13.0</v>
      </c>
    </row>
    <row r="428">
      <c r="A428" s="137">
        <v>7276.0</v>
      </c>
      <c r="B428" s="136" t="s">
        <v>1127</v>
      </c>
      <c r="C428" s="136" t="s">
        <v>1127</v>
      </c>
      <c r="D428" s="136" t="s">
        <v>1376</v>
      </c>
      <c r="E428" s="136" t="s">
        <v>1167</v>
      </c>
      <c r="F428" s="137">
        <v>1.0</v>
      </c>
      <c r="G428" s="137">
        <v>5.0</v>
      </c>
      <c r="H428" s="137">
        <v>-4.0</v>
      </c>
      <c r="I428" s="137">
        <v>1.0</v>
      </c>
      <c r="J428" s="137">
        <v>5.0</v>
      </c>
      <c r="K428" s="137">
        <v>-4.0</v>
      </c>
      <c r="L428" s="137">
        <v>8.0</v>
      </c>
      <c r="M428" s="137">
        <v>8.0</v>
      </c>
    </row>
    <row r="429">
      <c r="A429" s="137">
        <v>7319.0</v>
      </c>
      <c r="B429" s="136" t="s">
        <v>1127</v>
      </c>
      <c r="C429" s="136" t="s">
        <v>1294</v>
      </c>
      <c r="D429" s="136" t="s">
        <v>1377</v>
      </c>
      <c r="E429" s="136" t="s">
        <v>1159</v>
      </c>
      <c r="F429" s="137">
        <v>1.0</v>
      </c>
      <c r="G429" s="137">
        <v>1.0</v>
      </c>
      <c r="H429" s="137">
        <v>0.0</v>
      </c>
      <c r="I429" s="137">
        <v>1.0</v>
      </c>
      <c r="J429" s="137">
        <v>1.0</v>
      </c>
      <c r="K429" s="137">
        <v>0.0</v>
      </c>
      <c r="L429" s="137">
        <v>2.0</v>
      </c>
      <c r="M429" s="137">
        <v>2.0</v>
      </c>
    </row>
    <row r="430">
      <c r="A430" s="137">
        <v>7322.0</v>
      </c>
      <c r="B430" s="136" t="s">
        <v>1127</v>
      </c>
      <c r="C430" s="136" t="s">
        <v>1294</v>
      </c>
      <c r="D430" s="136" t="s">
        <v>1378</v>
      </c>
      <c r="E430" s="136" t="s">
        <v>1159</v>
      </c>
      <c r="F430" s="137">
        <v>1.0</v>
      </c>
      <c r="G430" s="137">
        <v>1.0</v>
      </c>
      <c r="H430" s="137">
        <v>0.0</v>
      </c>
      <c r="I430" s="137">
        <v>1.0</v>
      </c>
      <c r="J430" s="137">
        <v>1.0</v>
      </c>
      <c r="K430" s="137">
        <v>0.0</v>
      </c>
      <c r="L430" s="137">
        <v>1.0</v>
      </c>
      <c r="M430" s="137">
        <v>1.0</v>
      </c>
    </row>
    <row r="431">
      <c r="A431" s="137">
        <v>2764.0</v>
      </c>
      <c r="B431" s="136" t="s">
        <v>1128</v>
      </c>
      <c r="C431" s="136" t="s">
        <v>1379</v>
      </c>
      <c r="D431" s="136" t="s">
        <v>775</v>
      </c>
      <c r="E431" s="136" t="s">
        <v>1161</v>
      </c>
      <c r="F431" s="137">
        <v>35.0</v>
      </c>
      <c r="G431" s="137">
        <v>34.0</v>
      </c>
      <c r="H431" s="137">
        <v>1.0</v>
      </c>
      <c r="I431" s="137">
        <v>35.0</v>
      </c>
      <c r="J431" s="137">
        <v>34.0</v>
      </c>
      <c r="K431" s="137">
        <v>1.0</v>
      </c>
      <c r="L431" s="137">
        <v>365.0</v>
      </c>
      <c r="M431" s="137">
        <v>365.0</v>
      </c>
    </row>
    <row r="432">
      <c r="A432" s="137">
        <v>6434.0</v>
      </c>
      <c r="B432" s="136" t="s">
        <v>1128</v>
      </c>
      <c r="C432" s="136" t="s">
        <v>1128</v>
      </c>
      <c r="D432" s="136" t="s">
        <v>960</v>
      </c>
      <c r="E432" s="136" t="s">
        <v>1158</v>
      </c>
      <c r="F432" s="137">
        <v>31.0</v>
      </c>
      <c r="G432" s="137">
        <v>24.0</v>
      </c>
      <c r="H432" s="137">
        <v>7.0</v>
      </c>
      <c r="I432" s="137">
        <v>31.0</v>
      </c>
      <c r="J432" s="137">
        <v>25.0</v>
      </c>
      <c r="K432" s="137">
        <v>6.0</v>
      </c>
      <c r="L432" s="137">
        <v>240.0</v>
      </c>
      <c r="M432" s="137">
        <v>240.0</v>
      </c>
    </row>
    <row r="433">
      <c r="A433" s="137">
        <v>4871.0</v>
      </c>
      <c r="B433" s="136" t="s">
        <v>1128</v>
      </c>
      <c r="C433" s="136" t="s">
        <v>1379</v>
      </c>
      <c r="D433" s="136" t="s">
        <v>905</v>
      </c>
      <c r="E433" s="136" t="s">
        <v>1161</v>
      </c>
      <c r="F433" s="137">
        <v>30.0</v>
      </c>
      <c r="G433" s="137">
        <v>29.0</v>
      </c>
      <c r="H433" s="137">
        <v>1.0</v>
      </c>
      <c r="I433" s="137">
        <v>30.0</v>
      </c>
      <c r="J433" s="137">
        <v>29.0</v>
      </c>
      <c r="K433" s="137">
        <v>1.0</v>
      </c>
      <c r="L433" s="137">
        <v>232.0</v>
      </c>
      <c r="M433" s="137">
        <v>232.0</v>
      </c>
    </row>
    <row r="434">
      <c r="A434" s="137">
        <v>4510.0</v>
      </c>
      <c r="B434" s="136" t="s">
        <v>1128</v>
      </c>
      <c r="C434" s="136" t="s">
        <v>1128</v>
      </c>
      <c r="D434" s="136" t="s">
        <v>958</v>
      </c>
      <c r="E434" s="136" t="s">
        <v>1152</v>
      </c>
      <c r="F434" s="137">
        <v>29.0</v>
      </c>
      <c r="G434" s="137">
        <v>24.0</v>
      </c>
      <c r="H434" s="137">
        <v>5.0</v>
      </c>
      <c r="I434" s="137">
        <v>29.0</v>
      </c>
      <c r="J434" s="137">
        <v>24.0</v>
      </c>
      <c r="K434" s="137">
        <v>5.0</v>
      </c>
      <c r="L434" s="137">
        <v>190.0</v>
      </c>
      <c r="M434" s="137">
        <v>190.0</v>
      </c>
    </row>
    <row r="435">
      <c r="A435" s="137">
        <v>5734.0</v>
      </c>
      <c r="B435" s="136" t="s">
        <v>1128</v>
      </c>
      <c r="C435" s="136" t="s">
        <v>1128</v>
      </c>
      <c r="D435" s="136" t="s">
        <v>1059</v>
      </c>
      <c r="E435" s="136" t="s">
        <v>1153</v>
      </c>
      <c r="F435" s="137">
        <v>25.0</v>
      </c>
      <c r="G435" s="137">
        <v>20.0</v>
      </c>
      <c r="H435" s="137">
        <v>5.0</v>
      </c>
      <c r="I435" s="137">
        <v>25.0</v>
      </c>
      <c r="J435" s="137">
        <v>21.0</v>
      </c>
      <c r="K435" s="137">
        <v>4.0</v>
      </c>
      <c r="L435" s="137">
        <v>182.0</v>
      </c>
      <c r="M435" s="137">
        <v>182.0</v>
      </c>
    </row>
    <row r="436">
      <c r="A436" s="137">
        <v>5637.0</v>
      </c>
      <c r="B436" s="136" t="s">
        <v>1128</v>
      </c>
      <c r="C436" s="136" t="s">
        <v>1379</v>
      </c>
      <c r="D436" s="136" t="s">
        <v>1061</v>
      </c>
      <c r="E436" s="136" t="s">
        <v>1168</v>
      </c>
      <c r="F436" s="137">
        <v>25.0</v>
      </c>
      <c r="G436" s="137">
        <v>12.0</v>
      </c>
      <c r="H436" s="137">
        <v>13.0</v>
      </c>
      <c r="I436" s="137">
        <v>25.0</v>
      </c>
      <c r="J436" s="137">
        <v>11.0</v>
      </c>
      <c r="K436" s="137">
        <v>14.0</v>
      </c>
      <c r="L436" s="137">
        <v>87.0</v>
      </c>
      <c r="M436" s="137">
        <v>84.0</v>
      </c>
    </row>
    <row r="437">
      <c r="A437" s="137">
        <v>6052.0</v>
      </c>
      <c r="B437" s="136" t="s">
        <v>1128</v>
      </c>
      <c r="C437" s="136" t="s">
        <v>1379</v>
      </c>
      <c r="D437" s="136" t="s">
        <v>653</v>
      </c>
      <c r="E437" s="136" t="s">
        <v>1155</v>
      </c>
      <c r="F437" s="137">
        <v>25.0</v>
      </c>
      <c r="G437" s="137">
        <v>24.0</v>
      </c>
      <c r="H437" s="137">
        <v>1.0</v>
      </c>
      <c r="I437" s="137">
        <v>25.0</v>
      </c>
      <c r="J437" s="137">
        <v>24.0</v>
      </c>
      <c r="K437" s="137">
        <v>1.0</v>
      </c>
      <c r="L437" s="137">
        <v>185.0</v>
      </c>
      <c r="M437" s="137">
        <v>185.0</v>
      </c>
    </row>
    <row r="438">
      <c r="A438" s="137">
        <v>7017.0</v>
      </c>
      <c r="B438" s="136" t="s">
        <v>1128</v>
      </c>
      <c r="C438" s="136" t="s">
        <v>1379</v>
      </c>
      <c r="D438" s="136" t="s">
        <v>1108</v>
      </c>
      <c r="E438" s="136" t="s">
        <v>1156</v>
      </c>
      <c r="F438" s="137">
        <v>24.0</v>
      </c>
      <c r="G438" s="137">
        <v>8.0</v>
      </c>
      <c r="H438" s="137">
        <v>16.0</v>
      </c>
      <c r="I438" s="137">
        <v>24.0</v>
      </c>
      <c r="J438" s="137">
        <v>7.0</v>
      </c>
      <c r="K438" s="137">
        <v>17.0</v>
      </c>
      <c r="L438" s="137">
        <v>73.0</v>
      </c>
      <c r="M438" s="137">
        <v>70.0</v>
      </c>
    </row>
    <row r="439">
      <c r="A439" s="137">
        <v>2137.0</v>
      </c>
      <c r="B439" s="136" t="s">
        <v>1128</v>
      </c>
      <c r="C439" s="136" t="s">
        <v>1379</v>
      </c>
      <c r="D439" s="136" t="s">
        <v>904</v>
      </c>
      <c r="E439" s="136" t="s">
        <v>1154</v>
      </c>
      <c r="F439" s="137">
        <v>23.0</v>
      </c>
      <c r="G439" s="137">
        <v>19.0</v>
      </c>
      <c r="H439" s="137">
        <v>4.0</v>
      </c>
      <c r="I439" s="137">
        <v>23.0</v>
      </c>
      <c r="J439" s="137">
        <v>19.0</v>
      </c>
      <c r="K439" s="137">
        <v>4.0</v>
      </c>
      <c r="L439" s="137">
        <v>107.0</v>
      </c>
      <c r="M439" s="137">
        <v>107.0</v>
      </c>
    </row>
    <row r="440">
      <c r="A440" s="137">
        <v>6572.0</v>
      </c>
      <c r="B440" s="136" t="s">
        <v>1128</v>
      </c>
      <c r="C440" s="136" t="s">
        <v>1379</v>
      </c>
      <c r="D440" s="136" t="s">
        <v>1017</v>
      </c>
      <c r="E440" s="136" t="s">
        <v>1169</v>
      </c>
      <c r="F440" s="137">
        <v>23.0</v>
      </c>
      <c r="G440" s="137">
        <v>19.0</v>
      </c>
      <c r="H440" s="137">
        <v>4.0</v>
      </c>
      <c r="I440" s="137">
        <v>23.0</v>
      </c>
      <c r="J440" s="137">
        <v>19.0</v>
      </c>
      <c r="K440" s="137">
        <v>4.0</v>
      </c>
      <c r="L440" s="137">
        <v>67.0</v>
      </c>
      <c r="M440" s="137">
        <v>67.0</v>
      </c>
    </row>
    <row r="441">
      <c r="A441" s="137">
        <v>6435.0</v>
      </c>
      <c r="B441" s="136" t="s">
        <v>1128</v>
      </c>
      <c r="C441" s="136" t="s">
        <v>1379</v>
      </c>
      <c r="D441" s="136" t="s">
        <v>850</v>
      </c>
      <c r="E441" s="136" t="s">
        <v>1154</v>
      </c>
      <c r="F441" s="137">
        <v>22.0</v>
      </c>
      <c r="G441" s="137">
        <v>20.0</v>
      </c>
      <c r="H441" s="137">
        <v>2.0</v>
      </c>
      <c r="I441" s="137">
        <v>22.0</v>
      </c>
      <c r="J441" s="137">
        <v>20.0</v>
      </c>
      <c r="K441" s="137">
        <v>2.0</v>
      </c>
      <c r="L441" s="137">
        <v>42.0</v>
      </c>
      <c r="M441" s="137">
        <v>39.0</v>
      </c>
    </row>
    <row r="442">
      <c r="A442" s="137">
        <v>531.0</v>
      </c>
      <c r="B442" s="136" t="s">
        <v>1128</v>
      </c>
      <c r="C442" s="136" t="s">
        <v>1128</v>
      </c>
      <c r="D442" s="136" t="s">
        <v>768</v>
      </c>
      <c r="E442" s="136" t="s">
        <v>1164</v>
      </c>
      <c r="F442" s="137">
        <v>22.0</v>
      </c>
      <c r="G442" s="137">
        <v>21.0</v>
      </c>
      <c r="H442" s="137">
        <v>1.0</v>
      </c>
      <c r="I442" s="137">
        <v>22.0</v>
      </c>
      <c r="J442" s="137">
        <v>21.0</v>
      </c>
      <c r="K442" s="137">
        <v>1.0</v>
      </c>
      <c r="L442" s="137">
        <v>85.0</v>
      </c>
      <c r="M442" s="137">
        <v>85.0</v>
      </c>
    </row>
    <row r="443">
      <c r="A443" s="137">
        <v>6552.0</v>
      </c>
      <c r="B443" s="136" t="s">
        <v>1128</v>
      </c>
      <c r="C443" s="136" t="s">
        <v>1379</v>
      </c>
      <c r="D443" s="136" t="s">
        <v>1063</v>
      </c>
      <c r="E443" s="136" t="s">
        <v>1173</v>
      </c>
      <c r="F443" s="137">
        <v>22.0</v>
      </c>
      <c r="G443" s="137">
        <v>15.0</v>
      </c>
      <c r="H443" s="137">
        <v>7.0</v>
      </c>
      <c r="I443" s="137">
        <v>22.0</v>
      </c>
      <c r="J443" s="137">
        <v>15.0</v>
      </c>
      <c r="K443" s="137">
        <v>7.0</v>
      </c>
      <c r="L443" s="137">
        <v>40.0</v>
      </c>
      <c r="M443" s="137">
        <v>37.0</v>
      </c>
    </row>
    <row r="444">
      <c r="A444" s="137">
        <v>505.0</v>
      </c>
      <c r="B444" s="136" t="s">
        <v>1128</v>
      </c>
      <c r="C444" s="136" t="s">
        <v>1128</v>
      </c>
      <c r="D444" s="136" t="s">
        <v>777</v>
      </c>
      <c r="E444" s="136" t="s">
        <v>1160</v>
      </c>
      <c r="F444" s="137">
        <v>20.0</v>
      </c>
      <c r="G444" s="137">
        <v>1.0</v>
      </c>
      <c r="H444" s="137">
        <v>19.0</v>
      </c>
      <c r="I444" s="137">
        <v>20.0</v>
      </c>
      <c r="J444" s="137">
        <v>1.0</v>
      </c>
      <c r="K444" s="137">
        <v>19.0</v>
      </c>
      <c r="L444" s="137">
        <v>24.0</v>
      </c>
      <c r="M444" s="137">
        <v>24.0</v>
      </c>
    </row>
    <row r="445">
      <c r="A445" s="137">
        <v>7023.0</v>
      </c>
      <c r="B445" s="136" t="s">
        <v>1128</v>
      </c>
      <c r="C445" s="136" t="s">
        <v>1379</v>
      </c>
      <c r="D445" s="136" t="s">
        <v>1109</v>
      </c>
      <c r="E445" s="136" t="s">
        <v>1167</v>
      </c>
      <c r="F445" s="137">
        <v>20.0</v>
      </c>
      <c r="G445" s="137">
        <v>13.0</v>
      </c>
      <c r="H445" s="137">
        <v>7.0</v>
      </c>
      <c r="I445" s="137">
        <v>20.0</v>
      </c>
      <c r="J445" s="137">
        <v>12.0</v>
      </c>
      <c r="K445" s="137">
        <v>8.0</v>
      </c>
      <c r="L445" s="137">
        <v>82.0</v>
      </c>
      <c r="M445" s="137">
        <v>79.0</v>
      </c>
    </row>
    <row r="446">
      <c r="A446" s="137">
        <v>7071.0</v>
      </c>
      <c r="B446" s="136" t="s">
        <v>1128</v>
      </c>
      <c r="C446" s="136" t="s">
        <v>1379</v>
      </c>
      <c r="D446" s="136" t="s">
        <v>1116</v>
      </c>
      <c r="E446" s="136" t="s">
        <v>1161</v>
      </c>
      <c r="F446" s="137">
        <v>19.0</v>
      </c>
      <c r="G446" s="137">
        <v>7.0</v>
      </c>
      <c r="H446" s="137">
        <v>12.0</v>
      </c>
      <c r="I446" s="137">
        <v>19.0</v>
      </c>
      <c r="J446" s="137">
        <v>7.0</v>
      </c>
      <c r="K446" s="137">
        <v>12.0</v>
      </c>
      <c r="L446" s="137">
        <v>38.0</v>
      </c>
      <c r="M446" s="137">
        <v>35.0</v>
      </c>
    </row>
    <row r="447">
      <c r="A447" s="137">
        <v>2061.0</v>
      </c>
      <c r="B447" s="136" t="s">
        <v>1128</v>
      </c>
      <c r="C447" s="136" t="s">
        <v>1379</v>
      </c>
      <c r="D447" s="136" t="s">
        <v>782</v>
      </c>
      <c r="E447" s="136" t="s">
        <v>1175</v>
      </c>
      <c r="F447" s="137">
        <v>19.0</v>
      </c>
      <c r="G447" s="137">
        <v>8.0</v>
      </c>
      <c r="H447" s="137">
        <v>11.0</v>
      </c>
      <c r="I447" s="137">
        <v>18.0</v>
      </c>
      <c r="J447" s="137">
        <v>7.0</v>
      </c>
      <c r="K447" s="137">
        <v>11.0</v>
      </c>
      <c r="L447" s="137">
        <v>64.0</v>
      </c>
      <c r="M447" s="137">
        <v>64.0</v>
      </c>
    </row>
    <row r="448">
      <c r="A448" s="137">
        <v>6060.0</v>
      </c>
      <c r="B448" s="136" t="s">
        <v>1128</v>
      </c>
      <c r="C448" s="136" t="s">
        <v>1128</v>
      </c>
      <c r="D448" s="136" t="s">
        <v>1060</v>
      </c>
      <c r="E448" s="136" t="s">
        <v>1164</v>
      </c>
      <c r="F448" s="137">
        <v>19.0</v>
      </c>
      <c r="G448" s="137">
        <v>15.0</v>
      </c>
      <c r="H448" s="137">
        <v>4.0</v>
      </c>
      <c r="I448" s="137">
        <v>19.0</v>
      </c>
      <c r="J448" s="137">
        <v>15.0</v>
      </c>
      <c r="K448" s="137">
        <v>4.0</v>
      </c>
      <c r="L448" s="137">
        <v>37.0</v>
      </c>
      <c r="M448" s="137">
        <v>37.0</v>
      </c>
    </row>
    <row r="449">
      <c r="A449" s="137">
        <v>2499.0</v>
      </c>
      <c r="B449" s="136" t="s">
        <v>1128</v>
      </c>
      <c r="C449" s="136" t="s">
        <v>1379</v>
      </c>
      <c r="D449" s="136" t="s">
        <v>1110</v>
      </c>
      <c r="E449" s="136" t="s">
        <v>1160</v>
      </c>
      <c r="F449" s="137">
        <v>19.0</v>
      </c>
      <c r="G449" s="137">
        <v>15.0</v>
      </c>
      <c r="H449" s="137">
        <v>4.0</v>
      </c>
      <c r="I449" s="137">
        <v>19.0</v>
      </c>
      <c r="J449" s="137">
        <v>15.0</v>
      </c>
      <c r="K449" s="137">
        <v>4.0</v>
      </c>
      <c r="L449" s="137">
        <v>55.0</v>
      </c>
      <c r="M449" s="137">
        <v>52.0</v>
      </c>
    </row>
    <row r="450">
      <c r="A450" s="137">
        <v>5455.0</v>
      </c>
      <c r="B450" s="136" t="s">
        <v>1128</v>
      </c>
      <c r="C450" s="136" t="s">
        <v>1128</v>
      </c>
      <c r="D450" s="136" t="s">
        <v>1380</v>
      </c>
      <c r="E450" s="136" t="s">
        <v>1172</v>
      </c>
      <c r="F450" s="137">
        <v>18.0</v>
      </c>
      <c r="G450" s="137">
        <v>5.0</v>
      </c>
      <c r="H450" s="137">
        <v>13.0</v>
      </c>
      <c r="I450" s="137">
        <v>18.0</v>
      </c>
      <c r="J450" s="137">
        <v>5.0</v>
      </c>
      <c r="K450" s="137">
        <v>13.0</v>
      </c>
      <c r="L450" s="137">
        <v>14.0</v>
      </c>
      <c r="M450" s="137">
        <v>14.0</v>
      </c>
    </row>
    <row r="451">
      <c r="A451" s="137">
        <v>5995.0</v>
      </c>
      <c r="B451" s="136" t="s">
        <v>1128</v>
      </c>
      <c r="C451" s="136" t="s">
        <v>1128</v>
      </c>
      <c r="D451" s="136" t="s">
        <v>728</v>
      </c>
      <c r="E451" s="136" t="s">
        <v>1154</v>
      </c>
      <c r="F451" s="137">
        <v>17.0</v>
      </c>
      <c r="G451" s="137">
        <v>22.0</v>
      </c>
      <c r="H451" s="137">
        <v>-5.0</v>
      </c>
      <c r="I451" s="137">
        <v>18.0</v>
      </c>
      <c r="J451" s="137">
        <v>23.0</v>
      </c>
      <c r="K451" s="137">
        <v>-5.0</v>
      </c>
      <c r="L451" s="137">
        <v>88.0</v>
      </c>
      <c r="M451" s="137">
        <v>88.0</v>
      </c>
    </row>
    <row r="452">
      <c r="A452" s="137">
        <v>4436.0</v>
      </c>
      <c r="B452" s="136" t="s">
        <v>1128</v>
      </c>
      <c r="C452" s="136" t="s">
        <v>1128</v>
      </c>
      <c r="D452" s="136" t="s">
        <v>912</v>
      </c>
      <c r="E452" s="136" t="s">
        <v>1169</v>
      </c>
      <c r="F452" s="137">
        <v>17.0</v>
      </c>
      <c r="G452" s="137">
        <v>11.0</v>
      </c>
      <c r="H452" s="137">
        <v>6.0</v>
      </c>
      <c r="I452" s="137">
        <v>17.0</v>
      </c>
      <c r="J452" s="137">
        <v>11.0</v>
      </c>
      <c r="K452" s="137">
        <v>6.0</v>
      </c>
      <c r="L452" s="137">
        <v>30.0</v>
      </c>
      <c r="M452" s="137">
        <v>30.0</v>
      </c>
    </row>
    <row r="453">
      <c r="A453" s="137">
        <v>2097.0</v>
      </c>
      <c r="B453" s="136" t="s">
        <v>1128</v>
      </c>
      <c r="C453" s="136" t="s">
        <v>1379</v>
      </c>
      <c r="D453" s="136" t="s">
        <v>962</v>
      </c>
      <c r="E453" s="136" t="s">
        <v>1165</v>
      </c>
      <c r="F453" s="137">
        <v>17.0</v>
      </c>
      <c r="G453" s="137">
        <v>33.0</v>
      </c>
      <c r="H453" s="137">
        <v>-16.0</v>
      </c>
      <c r="I453" s="137">
        <v>17.0</v>
      </c>
      <c r="J453" s="137">
        <v>33.0</v>
      </c>
      <c r="K453" s="137">
        <v>-16.0</v>
      </c>
      <c r="L453" s="137">
        <v>137.0</v>
      </c>
      <c r="M453" s="137">
        <v>137.0</v>
      </c>
    </row>
    <row r="454">
      <c r="A454" s="137">
        <v>4463.0</v>
      </c>
      <c r="B454" s="136" t="s">
        <v>1128</v>
      </c>
      <c r="C454" s="136" t="s">
        <v>1128</v>
      </c>
      <c r="D454" s="136" t="s">
        <v>967</v>
      </c>
      <c r="E454" s="136" t="s">
        <v>1162</v>
      </c>
      <c r="F454" s="137">
        <v>17.0</v>
      </c>
      <c r="G454" s="137">
        <v>7.0</v>
      </c>
      <c r="H454" s="137">
        <v>10.0</v>
      </c>
      <c r="I454" s="137">
        <v>17.0</v>
      </c>
      <c r="J454" s="137">
        <v>7.0</v>
      </c>
      <c r="K454" s="137">
        <v>10.0</v>
      </c>
      <c r="L454" s="137">
        <v>52.0</v>
      </c>
      <c r="M454" s="137">
        <v>52.0</v>
      </c>
    </row>
    <row r="455">
      <c r="A455" s="137">
        <v>4728.0</v>
      </c>
      <c r="B455" s="136" t="s">
        <v>1128</v>
      </c>
      <c r="C455" s="136" t="s">
        <v>1128</v>
      </c>
      <c r="D455" s="136" t="s">
        <v>1113</v>
      </c>
      <c r="E455" s="136" t="s">
        <v>1152</v>
      </c>
      <c r="F455" s="137">
        <v>17.0</v>
      </c>
      <c r="G455" s="137">
        <v>20.0</v>
      </c>
      <c r="H455" s="137">
        <v>-3.0</v>
      </c>
      <c r="I455" s="137">
        <v>17.0</v>
      </c>
      <c r="J455" s="137">
        <v>20.0</v>
      </c>
      <c r="K455" s="137">
        <v>-3.0</v>
      </c>
      <c r="L455" s="137">
        <v>27.0</v>
      </c>
      <c r="M455" s="137">
        <v>27.0</v>
      </c>
    </row>
    <row r="456">
      <c r="A456" s="137">
        <v>6669.0</v>
      </c>
      <c r="B456" s="136" t="s">
        <v>1128</v>
      </c>
      <c r="C456" s="136" t="s">
        <v>1379</v>
      </c>
      <c r="D456" s="136" t="s">
        <v>1013</v>
      </c>
      <c r="E456" s="136" t="s">
        <v>1161</v>
      </c>
      <c r="F456" s="137">
        <v>16.0</v>
      </c>
      <c r="G456" s="137">
        <v>5.0</v>
      </c>
      <c r="H456" s="137">
        <v>11.0</v>
      </c>
      <c r="I456" s="137">
        <v>16.0</v>
      </c>
      <c r="J456" s="137">
        <v>5.0</v>
      </c>
      <c r="K456" s="137">
        <v>11.0</v>
      </c>
      <c r="L456" s="137">
        <v>28.0</v>
      </c>
      <c r="M456" s="137">
        <v>25.0</v>
      </c>
    </row>
    <row r="457">
      <c r="A457" s="137">
        <v>4371.0</v>
      </c>
      <c r="B457" s="136" t="s">
        <v>1128</v>
      </c>
      <c r="C457" s="136" t="s">
        <v>1128</v>
      </c>
      <c r="D457" s="136" t="s">
        <v>646</v>
      </c>
      <c r="E457" s="136" t="s">
        <v>1154</v>
      </c>
      <c r="F457" s="137">
        <v>16.0</v>
      </c>
      <c r="G457" s="137">
        <v>13.0</v>
      </c>
      <c r="H457" s="137">
        <v>3.0</v>
      </c>
      <c r="I457" s="137">
        <v>16.0</v>
      </c>
      <c r="J457" s="137">
        <v>13.0</v>
      </c>
      <c r="K457" s="137">
        <v>3.0</v>
      </c>
      <c r="L457" s="137">
        <v>70.0</v>
      </c>
      <c r="M457" s="137">
        <v>70.0</v>
      </c>
    </row>
    <row r="458">
      <c r="A458" s="137">
        <v>6365.0</v>
      </c>
      <c r="B458" s="136" t="s">
        <v>1128</v>
      </c>
      <c r="C458" s="136" t="s">
        <v>1379</v>
      </c>
      <c r="D458" s="136" t="s">
        <v>1106</v>
      </c>
      <c r="E458" s="136" t="s">
        <v>1153</v>
      </c>
      <c r="F458" s="137">
        <v>16.0</v>
      </c>
      <c r="G458" s="137">
        <v>19.0</v>
      </c>
      <c r="H458" s="137">
        <v>-3.0</v>
      </c>
      <c r="I458" s="137">
        <v>16.0</v>
      </c>
      <c r="J458" s="137">
        <v>19.0</v>
      </c>
      <c r="K458" s="137">
        <v>-3.0</v>
      </c>
      <c r="L458" s="137">
        <v>29.0</v>
      </c>
      <c r="M458" s="137">
        <v>26.0</v>
      </c>
    </row>
    <row r="459">
      <c r="A459" s="137">
        <v>6646.0</v>
      </c>
      <c r="B459" s="136" t="s">
        <v>1128</v>
      </c>
      <c r="C459" s="136" t="s">
        <v>1128</v>
      </c>
      <c r="D459" s="136" t="s">
        <v>965</v>
      </c>
      <c r="E459" s="136" t="s">
        <v>1175</v>
      </c>
      <c r="F459" s="137">
        <v>16.0</v>
      </c>
      <c r="G459" s="137">
        <v>14.0</v>
      </c>
      <c r="H459" s="137">
        <v>2.0</v>
      </c>
      <c r="I459" s="137">
        <v>16.0</v>
      </c>
      <c r="J459" s="137">
        <v>14.0</v>
      </c>
      <c r="K459" s="137">
        <v>2.0</v>
      </c>
      <c r="L459" s="137">
        <v>31.0</v>
      </c>
      <c r="M459" s="137">
        <v>31.0</v>
      </c>
    </row>
    <row r="460">
      <c r="A460" s="137">
        <v>7162.0</v>
      </c>
      <c r="B460" s="136" t="s">
        <v>1128</v>
      </c>
      <c r="C460" s="136" t="s">
        <v>1128</v>
      </c>
      <c r="D460" s="136" t="s">
        <v>1062</v>
      </c>
      <c r="E460" s="136" t="s">
        <v>1155</v>
      </c>
      <c r="F460" s="137">
        <v>16.0</v>
      </c>
      <c r="G460" s="137">
        <v>1.0</v>
      </c>
      <c r="H460" s="137">
        <v>15.0</v>
      </c>
      <c r="I460" s="137">
        <v>16.0</v>
      </c>
      <c r="J460" s="137">
        <v>1.0</v>
      </c>
      <c r="K460" s="137">
        <v>15.0</v>
      </c>
      <c r="L460" s="137">
        <v>23.0</v>
      </c>
      <c r="M460" s="137">
        <v>23.0</v>
      </c>
    </row>
    <row r="461">
      <c r="A461" s="137">
        <v>2531.0</v>
      </c>
      <c r="B461" s="136" t="s">
        <v>1128</v>
      </c>
      <c r="C461" s="136" t="s">
        <v>1379</v>
      </c>
      <c r="D461" s="136" t="s">
        <v>767</v>
      </c>
      <c r="E461" s="136" t="s">
        <v>1155</v>
      </c>
      <c r="F461" s="137">
        <v>15.0</v>
      </c>
      <c r="G461" s="137">
        <v>31.0</v>
      </c>
      <c r="H461" s="137">
        <v>-16.0</v>
      </c>
      <c r="I461" s="137">
        <v>15.0</v>
      </c>
      <c r="J461" s="137">
        <v>31.0</v>
      </c>
      <c r="K461" s="137">
        <v>-16.0</v>
      </c>
      <c r="L461" s="137">
        <v>62.0</v>
      </c>
      <c r="M461" s="137">
        <v>59.0</v>
      </c>
    </row>
    <row r="462">
      <c r="A462" s="137">
        <v>7316.0</v>
      </c>
      <c r="B462" s="136" t="s">
        <v>1128</v>
      </c>
      <c r="C462" s="136" t="s">
        <v>1379</v>
      </c>
      <c r="D462" s="136" t="s">
        <v>1381</v>
      </c>
      <c r="E462" s="136" t="s">
        <v>1172</v>
      </c>
      <c r="F462" s="137">
        <v>15.0</v>
      </c>
      <c r="G462" s="137">
        <v>15.0</v>
      </c>
      <c r="H462" s="137">
        <v>0.0</v>
      </c>
      <c r="I462" s="137">
        <v>15.0</v>
      </c>
      <c r="J462" s="137">
        <v>15.0</v>
      </c>
      <c r="K462" s="137">
        <v>0.0</v>
      </c>
      <c r="L462" s="137">
        <v>52.0</v>
      </c>
      <c r="M462" s="137">
        <v>52.0</v>
      </c>
    </row>
    <row r="463">
      <c r="A463" s="137">
        <v>5585.0</v>
      </c>
      <c r="B463" s="136" t="s">
        <v>1128</v>
      </c>
      <c r="C463" s="136" t="s">
        <v>1128</v>
      </c>
      <c r="D463" s="136" t="s">
        <v>1382</v>
      </c>
      <c r="E463" s="136" t="s">
        <v>1153</v>
      </c>
      <c r="F463" s="137">
        <v>15.0</v>
      </c>
      <c r="G463" s="137">
        <v>14.0</v>
      </c>
      <c r="H463" s="137">
        <v>1.0</v>
      </c>
      <c r="I463" s="137">
        <v>15.0</v>
      </c>
      <c r="J463" s="137">
        <v>14.0</v>
      </c>
      <c r="K463" s="137">
        <v>1.0</v>
      </c>
      <c r="L463" s="137">
        <v>72.0</v>
      </c>
      <c r="M463" s="137">
        <v>72.0</v>
      </c>
    </row>
    <row r="464">
      <c r="A464" s="137">
        <v>4923.0</v>
      </c>
      <c r="B464" s="136" t="s">
        <v>1128</v>
      </c>
      <c r="C464" s="136" t="s">
        <v>1379</v>
      </c>
      <c r="D464" s="136" t="s">
        <v>658</v>
      </c>
      <c r="E464" s="136" t="s">
        <v>1170</v>
      </c>
      <c r="F464" s="137">
        <v>14.0</v>
      </c>
      <c r="G464" s="137">
        <v>12.0</v>
      </c>
      <c r="H464" s="137">
        <v>2.0</v>
      </c>
      <c r="I464" s="137">
        <v>14.0</v>
      </c>
      <c r="J464" s="137">
        <v>11.0</v>
      </c>
      <c r="K464" s="137">
        <v>3.0</v>
      </c>
      <c r="L464" s="137">
        <v>45.0</v>
      </c>
      <c r="M464" s="137">
        <v>42.0</v>
      </c>
    </row>
    <row r="465">
      <c r="A465" s="137">
        <v>2841.0</v>
      </c>
      <c r="B465" s="136" t="s">
        <v>1128</v>
      </c>
      <c r="C465" s="136" t="s">
        <v>1379</v>
      </c>
      <c r="D465" s="136" t="s">
        <v>769</v>
      </c>
      <c r="E465" s="136" t="s">
        <v>1158</v>
      </c>
      <c r="F465" s="137">
        <v>14.0</v>
      </c>
      <c r="G465" s="137">
        <v>24.0</v>
      </c>
      <c r="H465" s="137">
        <v>-10.0</v>
      </c>
      <c r="I465" s="137">
        <v>14.0</v>
      </c>
      <c r="J465" s="137">
        <v>24.0</v>
      </c>
      <c r="K465" s="137">
        <v>-10.0</v>
      </c>
      <c r="L465" s="137">
        <v>50.0</v>
      </c>
      <c r="M465" s="137">
        <v>47.0</v>
      </c>
    </row>
    <row r="466">
      <c r="A466" s="137">
        <v>5500.0</v>
      </c>
      <c r="B466" s="136" t="s">
        <v>1128</v>
      </c>
      <c r="C466" s="136" t="s">
        <v>1296</v>
      </c>
      <c r="D466" s="136" t="s">
        <v>1114</v>
      </c>
      <c r="E466" s="136" t="s">
        <v>1157</v>
      </c>
      <c r="F466" s="137">
        <v>14.0</v>
      </c>
      <c r="G466" s="137">
        <v>3.0</v>
      </c>
      <c r="H466" s="137">
        <v>11.0</v>
      </c>
      <c r="I466" s="137">
        <v>14.0</v>
      </c>
      <c r="J466" s="137">
        <v>3.0</v>
      </c>
      <c r="K466" s="137">
        <v>11.0</v>
      </c>
      <c r="L466" s="137">
        <v>22.0</v>
      </c>
      <c r="M466" s="137">
        <v>19.0</v>
      </c>
    </row>
    <row r="467">
      <c r="A467" s="137">
        <v>6675.0</v>
      </c>
      <c r="B467" s="136" t="s">
        <v>1128</v>
      </c>
      <c r="C467" s="136" t="s">
        <v>1379</v>
      </c>
      <c r="D467" s="136" t="s">
        <v>959</v>
      </c>
      <c r="E467" s="136" t="s">
        <v>1153</v>
      </c>
      <c r="F467" s="137">
        <v>14.0</v>
      </c>
      <c r="G467" s="137">
        <v>21.0</v>
      </c>
      <c r="H467" s="137">
        <v>-7.0</v>
      </c>
      <c r="I467" s="137">
        <v>14.0</v>
      </c>
      <c r="J467" s="137">
        <v>21.0</v>
      </c>
      <c r="K467" s="137">
        <v>-7.0</v>
      </c>
      <c r="L467" s="137">
        <v>12.0</v>
      </c>
      <c r="M467" s="137">
        <v>10.0</v>
      </c>
    </row>
    <row r="468">
      <c r="A468" s="137">
        <v>2038.0</v>
      </c>
      <c r="B468" s="136" t="s">
        <v>1128</v>
      </c>
      <c r="C468" s="136" t="s">
        <v>1379</v>
      </c>
      <c r="D468" s="136" t="s">
        <v>650</v>
      </c>
      <c r="E468" s="136" t="s">
        <v>1164</v>
      </c>
      <c r="F468" s="137">
        <v>14.0</v>
      </c>
      <c r="G468" s="137">
        <v>16.0</v>
      </c>
      <c r="H468" s="137">
        <v>-2.0</v>
      </c>
      <c r="I468" s="137">
        <v>14.0</v>
      </c>
      <c r="J468" s="137">
        <v>16.0</v>
      </c>
      <c r="K468" s="137">
        <v>-2.0</v>
      </c>
      <c r="L468" s="137">
        <v>50.0</v>
      </c>
      <c r="M468" s="137">
        <v>47.0</v>
      </c>
    </row>
    <row r="469">
      <c r="A469" s="137">
        <v>7199.0</v>
      </c>
      <c r="B469" s="136" t="s">
        <v>1128</v>
      </c>
      <c r="C469" s="136" t="s">
        <v>1128</v>
      </c>
      <c r="D469" s="136" t="s">
        <v>1383</v>
      </c>
      <c r="E469" s="136" t="s">
        <v>1162</v>
      </c>
      <c r="F469" s="137">
        <v>14.0</v>
      </c>
      <c r="G469" s="137">
        <v>6.0</v>
      </c>
      <c r="H469" s="137">
        <v>8.0</v>
      </c>
      <c r="I469" s="137">
        <v>14.0</v>
      </c>
      <c r="J469" s="137">
        <v>6.0</v>
      </c>
      <c r="K469" s="137">
        <v>8.0</v>
      </c>
      <c r="L469" s="137">
        <v>26.0</v>
      </c>
      <c r="M469" s="137">
        <v>26.0</v>
      </c>
    </row>
    <row r="470">
      <c r="A470" s="137">
        <v>2678.0</v>
      </c>
      <c r="B470" s="136" t="s">
        <v>1128</v>
      </c>
      <c r="C470" s="136" t="s">
        <v>1379</v>
      </c>
      <c r="D470" s="136" t="s">
        <v>1384</v>
      </c>
      <c r="E470" s="136" t="s">
        <v>1152</v>
      </c>
      <c r="F470" s="137">
        <v>14.0</v>
      </c>
      <c r="G470" s="137">
        <v>13.0</v>
      </c>
      <c r="H470" s="137">
        <v>1.0</v>
      </c>
      <c r="I470" s="137">
        <v>14.0</v>
      </c>
      <c r="J470" s="137">
        <v>13.0</v>
      </c>
      <c r="K470" s="137">
        <v>1.0</v>
      </c>
      <c r="L470" s="137">
        <v>33.0</v>
      </c>
      <c r="M470" s="137">
        <v>30.0</v>
      </c>
    </row>
    <row r="471">
      <c r="A471" s="137">
        <v>7313.0</v>
      </c>
      <c r="B471" s="136" t="s">
        <v>1128</v>
      </c>
      <c r="C471" s="136" t="s">
        <v>1379</v>
      </c>
      <c r="D471" s="136" t="s">
        <v>1385</v>
      </c>
      <c r="E471" s="136" t="s">
        <v>1157</v>
      </c>
      <c r="F471" s="137">
        <v>14.0</v>
      </c>
      <c r="G471" s="137">
        <v>15.0</v>
      </c>
      <c r="H471" s="137">
        <v>-1.0</v>
      </c>
      <c r="I471" s="137">
        <v>14.0</v>
      </c>
      <c r="J471" s="137">
        <v>15.0</v>
      </c>
      <c r="K471" s="137">
        <v>-1.0</v>
      </c>
      <c r="L471" s="137">
        <v>31.0</v>
      </c>
      <c r="M471" s="137">
        <v>29.0</v>
      </c>
    </row>
    <row r="472">
      <c r="A472" s="137">
        <v>6243.0</v>
      </c>
      <c r="B472" s="136" t="s">
        <v>1128</v>
      </c>
      <c r="C472" s="136" t="s">
        <v>1379</v>
      </c>
      <c r="D472" s="136" t="s">
        <v>1386</v>
      </c>
      <c r="E472" s="136" t="s">
        <v>1162</v>
      </c>
      <c r="F472" s="137">
        <v>13.0</v>
      </c>
      <c r="G472" s="137">
        <v>5.0</v>
      </c>
      <c r="H472" s="137">
        <v>8.0</v>
      </c>
      <c r="I472" s="137">
        <v>13.0</v>
      </c>
      <c r="J472" s="137">
        <v>4.0</v>
      </c>
      <c r="K472" s="137">
        <v>9.0</v>
      </c>
      <c r="L472" s="137">
        <v>13.0</v>
      </c>
      <c r="M472" s="137">
        <v>10.0</v>
      </c>
    </row>
    <row r="473">
      <c r="A473" s="137">
        <v>5544.0</v>
      </c>
      <c r="B473" s="136" t="s">
        <v>1128</v>
      </c>
      <c r="C473" s="136" t="s">
        <v>1379</v>
      </c>
      <c r="D473" s="136" t="s">
        <v>1105</v>
      </c>
      <c r="E473" s="136" t="s">
        <v>1158</v>
      </c>
      <c r="F473" s="137">
        <v>13.0</v>
      </c>
      <c r="G473" s="137">
        <v>27.0</v>
      </c>
      <c r="H473" s="137">
        <v>-14.0</v>
      </c>
      <c r="I473" s="137">
        <v>13.0</v>
      </c>
      <c r="J473" s="137">
        <v>27.0</v>
      </c>
      <c r="K473" s="137">
        <v>-14.0</v>
      </c>
      <c r="L473" s="137">
        <v>61.0</v>
      </c>
      <c r="M473" s="137">
        <v>58.0</v>
      </c>
    </row>
    <row r="474">
      <c r="A474" s="137">
        <v>309.0</v>
      </c>
      <c r="B474" s="136" t="s">
        <v>1128</v>
      </c>
      <c r="C474" s="136" t="s">
        <v>1128</v>
      </c>
      <c r="D474" s="136" t="s">
        <v>640</v>
      </c>
      <c r="E474" s="136" t="s">
        <v>1153</v>
      </c>
      <c r="F474" s="137">
        <v>13.0</v>
      </c>
      <c r="G474" s="137">
        <v>26.0</v>
      </c>
      <c r="H474" s="137">
        <v>-13.0</v>
      </c>
      <c r="I474" s="137">
        <v>13.0</v>
      </c>
      <c r="J474" s="137">
        <v>27.0</v>
      </c>
      <c r="K474" s="137">
        <v>-14.0</v>
      </c>
      <c r="L474" s="137">
        <v>71.0</v>
      </c>
      <c r="M474" s="137">
        <v>71.0</v>
      </c>
    </row>
    <row r="475">
      <c r="A475" s="137">
        <v>7129.0</v>
      </c>
      <c r="B475" s="136" t="s">
        <v>1128</v>
      </c>
      <c r="C475" s="136" t="s">
        <v>1296</v>
      </c>
      <c r="D475" s="136" t="s">
        <v>1387</v>
      </c>
      <c r="E475" s="136" t="s">
        <v>1156</v>
      </c>
      <c r="F475" s="137">
        <v>12.0</v>
      </c>
      <c r="G475" s="137">
        <v>5.0</v>
      </c>
      <c r="H475" s="137">
        <v>7.0</v>
      </c>
      <c r="I475" s="137">
        <v>12.0</v>
      </c>
      <c r="J475" s="137">
        <v>5.0</v>
      </c>
      <c r="K475" s="137">
        <v>7.0</v>
      </c>
      <c r="L475" s="137">
        <v>25.0</v>
      </c>
      <c r="M475" s="137">
        <v>28.0</v>
      </c>
    </row>
    <row r="476">
      <c r="A476" s="137">
        <v>6164.0</v>
      </c>
      <c r="B476" s="136" t="s">
        <v>1128</v>
      </c>
      <c r="C476" s="136" t="s">
        <v>1379</v>
      </c>
      <c r="D476" s="136" t="s">
        <v>1011</v>
      </c>
      <c r="E476" s="136" t="s">
        <v>1170</v>
      </c>
      <c r="F476" s="137">
        <v>12.0</v>
      </c>
      <c r="G476" s="137">
        <v>12.0</v>
      </c>
      <c r="H476" s="137">
        <v>0.0</v>
      </c>
      <c r="I476" s="137">
        <v>12.0</v>
      </c>
      <c r="J476" s="137">
        <v>11.0</v>
      </c>
      <c r="K476" s="137">
        <v>1.0</v>
      </c>
      <c r="L476" s="137">
        <v>27.0</v>
      </c>
      <c r="M476" s="137">
        <v>24.0</v>
      </c>
    </row>
    <row r="477">
      <c r="A477" s="137">
        <v>7008.0</v>
      </c>
      <c r="B477" s="136" t="s">
        <v>1128</v>
      </c>
      <c r="C477" s="136" t="s">
        <v>1379</v>
      </c>
      <c r="D477" s="136" t="s">
        <v>1112</v>
      </c>
      <c r="E477" s="136" t="s">
        <v>1152</v>
      </c>
      <c r="F477" s="137">
        <v>12.0</v>
      </c>
      <c r="G477" s="137">
        <v>25.0</v>
      </c>
      <c r="H477" s="137">
        <v>-13.0</v>
      </c>
      <c r="I477" s="137">
        <v>12.0</v>
      </c>
      <c r="J477" s="137">
        <v>25.0</v>
      </c>
      <c r="K477" s="137">
        <v>-13.0</v>
      </c>
      <c r="L477" s="137">
        <v>14.0</v>
      </c>
      <c r="M477" s="137">
        <v>11.0</v>
      </c>
    </row>
    <row r="478">
      <c r="A478" s="137">
        <v>5918.0</v>
      </c>
      <c r="B478" s="136" t="s">
        <v>1128</v>
      </c>
      <c r="C478" s="136" t="s">
        <v>1128</v>
      </c>
      <c r="D478" s="136" t="s">
        <v>1065</v>
      </c>
      <c r="E478" s="136" t="s">
        <v>1154</v>
      </c>
      <c r="F478" s="137">
        <v>11.0</v>
      </c>
      <c r="G478" s="137">
        <v>9.0</v>
      </c>
      <c r="H478" s="137">
        <v>2.0</v>
      </c>
      <c r="I478" s="137">
        <v>11.0</v>
      </c>
      <c r="J478" s="137">
        <v>9.0</v>
      </c>
      <c r="K478" s="137">
        <v>2.0</v>
      </c>
      <c r="L478" s="137">
        <v>11.0</v>
      </c>
      <c r="M478" s="137">
        <v>11.0</v>
      </c>
    </row>
    <row r="479">
      <c r="A479" s="137">
        <v>7127.0</v>
      </c>
      <c r="B479" s="136" t="s">
        <v>1128</v>
      </c>
      <c r="C479" s="136" t="s">
        <v>1296</v>
      </c>
      <c r="D479" s="136" t="s">
        <v>1388</v>
      </c>
      <c r="E479" s="136" t="s">
        <v>1156</v>
      </c>
      <c r="F479" s="137">
        <v>11.0</v>
      </c>
      <c r="G479" s="137">
        <v>7.0</v>
      </c>
      <c r="H479" s="137">
        <v>4.0</v>
      </c>
      <c r="I479" s="137">
        <v>11.0</v>
      </c>
      <c r="J479" s="137">
        <v>7.0</v>
      </c>
      <c r="K479" s="137">
        <v>4.0</v>
      </c>
      <c r="L479" s="137">
        <v>13.0</v>
      </c>
      <c r="M479" s="137">
        <v>16.0</v>
      </c>
    </row>
    <row r="480">
      <c r="A480" s="137">
        <v>5506.0</v>
      </c>
      <c r="B480" s="136" t="s">
        <v>1128</v>
      </c>
      <c r="C480" s="136" t="s">
        <v>1128</v>
      </c>
      <c r="D480" s="136" t="s">
        <v>1389</v>
      </c>
      <c r="E480" s="136" t="s">
        <v>1170</v>
      </c>
      <c r="F480" s="137">
        <v>11.0</v>
      </c>
      <c r="G480" s="137">
        <v>2.0</v>
      </c>
      <c r="H480" s="137">
        <v>9.0</v>
      </c>
      <c r="I480" s="137">
        <v>11.0</v>
      </c>
      <c r="J480" s="137">
        <v>2.0</v>
      </c>
      <c r="K480" s="137">
        <v>9.0</v>
      </c>
      <c r="L480" s="137">
        <v>11.0</v>
      </c>
      <c r="M480" s="137">
        <v>11.0</v>
      </c>
    </row>
    <row r="481">
      <c r="A481" s="137">
        <v>6556.0</v>
      </c>
      <c r="B481" s="136" t="s">
        <v>1128</v>
      </c>
      <c r="C481" s="136" t="s">
        <v>1128</v>
      </c>
      <c r="D481" s="136" t="s">
        <v>963</v>
      </c>
      <c r="E481" s="136" t="s">
        <v>1157</v>
      </c>
      <c r="F481" s="137">
        <v>11.0</v>
      </c>
      <c r="G481" s="137">
        <v>7.0</v>
      </c>
      <c r="H481" s="137">
        <v>4.0</v>
      </c>
      <c r="I481" s="137">
        <v>11.0</v>
      </c>
      <c r="J481" s="137">
        <v>7.0</v>
      </c>
      <c r="K481" s="137">
        <v>4.0</v>
      </c>
      <c r="L481" s="137">
        <v>13.0</v>
      </c>
      <c r="M481" s="137">
        <v>13.0</v>
      </c>
    </row>
    <row r="482">
      <c r="A482" s="137">
        <v>6001.0</v>
      </c>
      <c r="B482" s="136" t="s">
        <v>1128</v>
      </c>
      <c r="C482" s="136" t="s">
        <v>1296</v>
      </c>
      <c r="D482" s="136" t="s">
        <v>916</v>
      </c>
      <c r="E482" s="136" t="s">
        <v>1159</v>
      </c>
      <c r="F482" s="137">
        <v>11.0</v>
      </c>
      <c r="G482" s="137">
        <v>5.0</v>
      </c>
      <c r="H482" s="137">
        <v>6.0</v>
      </c>
      <c r="I482" s="137">
        <v>11.0</v>
      </c>
      <c r="J482" s="137">
        <v>5.0</v>
      </c>
      <c r="K482" s="137">
        <v>6.0</v>
      </c>
      <c r="L482" s="137">
        <v>12.0</v>
      </c>
      <c r="M482" s="137">
        <v>14.0</v>
      </c>
    </row>
    <row r="483">
      <c r="A483" s="137">
        <v>5336.0</v>
      </c>
      <c r="B483" s="136" t="s">
        <v>1128</v>
      </c>
      <c r="C483" s="136" t="s">
        <v>1379</v>
      </c>
      <c r="D483" s="136" t="s">
        <v>774</v>
      </c>
      <c r="E483" s="136" t="s">
        <v>1164</v>
      </c>
      <c r="F483" s="137">
        <v>11.0</v>
      </c>
      <c r="G483" s="137">
        <v>12.0</v>
      </c>
      <c r="H483" s="137">
        <v>-1.0</v>
      </c>
      <c r="I483" s="137">
        <v>11.0</v>
      </c>
      <c r="J483" s="137">
        <v>12.0</v>
      </c>
      <c r="K483" s="137">
        <v>-1.0</v>
      </c>
      <c r="L483" s="137">
        <v>12.0</v>
      </c>
      <c r="M483" s="137">
        <v>10.0</v>
      </c>
    </row>
    <row r="484">
      <c r="A484" s="137">
        <v>6822.0</v>
      </c>
      <c r="B484" s="136" t="s">
        <v>1128</v>
      </c>
      <c r="C484" s="136" t="s">
        <v>1128</v>
      </c>
      <c r="D484" s="136" t="s">
        <v>1390</v>
      </c>
      <c r="E484" s="136" t="s">
        <v>1170</v>
      </c>
      <c r="F484" s="137">
        <v>10.0</v>
      </c>
      <c r="G484" s="137">
        <v>1.0</v>
      </c>
      <c r="H484" s="137">
        <v>9.0</v>
      </c>
      <c r="I484" s="137">
        <v>10.0</v>
      </c>
      <c r="J484" s="137">
        <v>1.0</v>
      </c>
      <c r="K484" s="137">
        <v>9.0</v>
      </c>
      <c r="L484" s="137">
        <v>11.0</v>
      </c>
      <c r="M484" s="137">
        <v>11.0</v>
      </c>
    </row>
    <row r="485">
      <c r="A485" s="137">
        <v>7001.0</v>
      </c>
      <c r="B485" s="136" t="s">
        <v>1128</v>
      </c>
      <c r="C485" s="136" t="s">
        <v>1296</v>
      </c>
      <c r="D485" s="136" t="s">
        <v>1391</v>
      </c>
      <c r="E485" s="136" t="s">
        <v>1159</v>
      </c>
      <c r="F485" s="137">
        <v>10.0</v>
      </c>
      <c r="G485" s="137">
        <v>5.0</v>
      </c>
      <c r="H485" s="137">
        <v>5.0</v>
      </c>
      <c r="I485" s="137">
        <v>10.0</v>
      </c>
      <c r="J485" s="137">
        <v>5.0</v>
      </c>
      <c r="K485" s="137">
        <v>5.0</v>
      </c>
      <c r="L485" s="137">
        <v>10.0</v>
      </c>
      <c r="M485" s="137">
        <v>12.0</v>
      </c>
    </row>
    <row r="486">
      <c r="A486" s="137">
        <v>6981.0</v>
      </c>
      <c r="B486" s="136" t="s">
        <v>1128</v>
      </c>
      <c r="C486" s="136" t="s">
        <v>1379</v>
      </c>
      <c r="D486" s="136" t="s">
        <v>1392</v>
      </c>
      <c r="E486" s="136" t="s">
        <v>1153</v>
      </c>
      <c r="F486" s="137">
        <v>10.0</v>
      </c>
      <c r="G486" s="137">
        <v>10.0</v>
      </c>
      <c r="H486" s="137">
        <v>0.0</v>
      </c>
      <c r="I486" s="137">
        <v>10.0</v>
      </c>
      <c r="J486" s="137">
        <v>10.0</v>
      </c>
      <c r="K486" s="137">
        <v>0.0</v>
      </c>
      <c r="L486" s="137">
        <v>20.0</v>
      </c>
      <c r="M486" s="137">
        <v>20.0</v>
      </c>
    </row>
    <row r="487">
      <c r="A487" s="137">
        <v>6314.0</v>
      </c>
      <c r="B487" s="136" t="s">
        <v>1128</v>
      </c>
      <c r="C487" s="136" t="s">
        <v>1379</v>
      </c>
      <c r="D487" s="136" t="s">
        <v>1107</v>
      </c>
      <c r="E487" s="136" t="s">
        <v>1158</v>
      </c>
      <c r="F487" s="137">
        <v>9.0</v>
      </c>
      <c r="G487" s="137">
        <v>22.0</v>
      </c>
      <c r="H487" s="137">
        <v>-13.0</v>
      </c>
      <c r="I487" s="137">
        <v>9.0</v>
      </c>
      <c r="J487" s="137">
        <v>22.0</v>
      </c>
      <c r="K487" s="137">
        <v>-13.0</v>
      </c>
      <c r="L487" s="137">
        <v>18.0</v>
      </c>
      <c r="M487" s="137">
        <v>15.0</v>
      </c>
    </row>
    <row r="488">
      <c r="A488" s="137">
        <v>6643.0</v>
      </c>
      <c r="B488" s="136" t="s">
        <v>1128</v>
      </c>
      <c r="C488" s="136" t="s">
        <v>1379</v>
      </c>
      <c r="D488" s="136" t="s">
        <v>1018</v>
      </c>
      <c r="E488" s="136" t="s">
        <v>1169</v>
      </c>
      <c r="F488" s="137">
        <v>8.0</v>
      </c>
      <c r="G488" s="137">
        <v>10.0</v>
      </c>
      <c r="H488" s="137">
        <v>-2.0</v>
      </c>
      <c r="I488" s="137">
        <v>8.0</v>
      </c>
      <c r="J488" s="137">
        <v>10.0</v>
      </c>
      <c r="K488" s="137">
        <v>-2.0</v>
      </c>
      <c r="L488" s="137">
        <v>12.0</v>
      </c>
      <c r="M488" s="137">
        <v>10.0</v>
      </c>
    </row>
    <row r="489">
      <c r="A489" s="137">
        <v>4359.0</v>
      </c>
      <c r="B489" s="136" t="s">
        <v>1128</v>
      </c>
      <c r="C489" s="136" t="s">
        <v>1379</v>
      </c>
      <c r="D489" s="136" t="s">
        <v>964</v>
      </c>
      <c r="E489" s="136" t="s">
        <v>1165</v>
      </c>
      <c r="F489" s="137">
        <v>8.0</v>
      </c>
      <c r="G489" s="137">
        <v>17.0</v>
      </c>
      <c r="H489" s="137">
        <v>-9.0</v>
      </c>
      <c r="I489" s="137">
        <v>8.0</v>
      </c>
      <c r="J489" s="137">
        <v>17.0</v>
      </c>
      <c r="K489" s="137">
        <v>-9.0</v>
      </c>
      <c r="L489" s="137">
        <v>15.0</v>
      </c>
      <c r="M489" s="137">
        <v>12.0</v>
      </c>
    </row>
    <row r="490">
      <c r="A490" s="137">
        <v>6667.0</v>
      </c>
      <c r="B490" s="136" t="s">
        <v>1128</v>
      </c>
      <c r="C490" s="136" t="s">
        <v>1128</v>
      </c>
      <c r="D490" s="136" t="s">
        <v>968</v>
      </c>
      <c r="E490" s="136" t="s">
        <v>1167</v>
      </c>
      <c r="F490" s="137">
        <v>8.0</v>
      </c>
      <c r="G490" s="137">
        <v>1.0</v>
      </c>
      <c r="H490" s="137">
        <v>7.0</v>
      </c>
      <c r="I490" s="137">
        <v>8.0</v>
      </c>
      <c r="J490" s="137">
        <v>1.0</v>
      </c>
      <c r="K490" s="137">
        <v>7.0</v>
      </c>
      <c r="L490" s="137">
        <v>10.0</v>
      </c>
      <c r="M490" s="137">
        <v>10.0</v>
      </c>
    </row>
    <row r="491">
      <c r="A491" s="137">
        <v>6836.0</v>
      </c>
      <c r="B491" s="136" t="s">
        <v>1128</v>
      </c>
      <c r="C491" s="136" t="s">
        <v>1379</v>
      </c>
      <c r="D491" s="136" t="s">
        <v>1393</v>
      </c>
      <c r="E491" s="136" t="s">
        <v>1172</v>
      </c>
      <c r="F491" s="137">
        <v>8.0</v>
      </c>
      <c r="G491" s="137">
        <v>2.0</v>
      </c>
      <c r="H491" s="137">
        <v>6.0</v>
      </c>
      <c r="I491" s="137">
        <v>8.0</v>
      </c>
      <c r="J491" s="137">
        <v>2.0</v>
      </c>
      <c r="K491" s="137">
        <v>6.0</v>
      </c>
      <c r="L491" s="137">
        <v>14.0</v>
      </c>
      <c r="M491" s="137">
        <v>11.0</v>
      </c>
    </row>
    <row r="492">
      <c r="A492" s="137">
        <v>7249.0</v>
      </c>
      <c r="B492" s="136" t="s">
        <v>1128</v>
      </c>
      <c r="C492" s="136" t="s">
        <v>1379</v>
      </c>
      <c r="D492" s="136" t="s">
        <v>1394</v>
      </c>
      <c r="E492" s="136" t="s">
        <v>1168</v>
      </c>
      <c r="F492" s="137">
        <v>8.0</v>
      </c>
      <c r="G492" s="137">
        <v>9.0</v>
      </c>
      <c r="H492" s="137">
        <v>-1.0</v>
      </c>
      <c r="I492" s="137">
        <v>8.0</v>
      </c>
      <c r="J492" s="137">
        <v>9.0</v>
      </c>
      <c r="K492" s="137">
        <v>-1.0</v>
      </c>
      <c r="L492" s="137">
        <v>12.0</v>
      </c>
      <c r="M492" s="137">
        <v>10.0</v>
      </c>
    </row>
    <row r="493">
      <c r="A493" s="137">
        <v>441.0</v>
      </c>
      <c r="B493" s="136" t="s">
        <v>1128</v>
      </c>
      <c r="C493" s="136" t="s">
        <v>1379</v>
      </c>
      <c r="D493" s="136" t="s">
        <v>663</v>
      </c>
      <c r="E493" s="136" t="s">
        <v>1162</v>
      </c>
      <c r="F493" s="137">
        <v>8.0</v>
      </c>
      <c r="G493" s="137">
        <v>12.0</v>
      </c>
      <c r="H493" s="137">
        <v>-4.0</v>
      </c>
      <c r="I493" s="137">
        <v>7.0</v>
      </c>
      <c r="J493" s="137">
        <v>11.0</v>
      </c>
      <c r="K493" s="137">
        <v>-4.0</v>
      </c>
      <c r="L493" s="137">
        <v>30.0</v>
      </c>
      <c r="M493" s="137">
        <v>30.0</v>
      </c>
    </row>
    <row r="494">
      <c r="A494" s="137">
        <v>2489.0</v>
      </c>
      <c r="B494" s="136" t="s">
        <v>1128</v>
      </c>
      <c r="C494" s="136" t="s">
        <v>1128</v>
      </c>
      <c r="D494" s="136" t="s">
        <v>661</v>
      </c>
      <c r="E494" s="136" t="s">
        <v>1157</v>
      </c>
      <c r="F494" s="137">
        <v>7.0</v>
      </c>
      <c r="G494" s="137">
        <v>13.0</v>
      </c>
      <c r="H494" s="137">
        <v>-6.0</v>
      </c>
      <c r="I494" s="137">
        <v>7.0</v>
      </c>
      <c r="J494" s="137">
        <v>13.0</v>
      </c>
      <c r="K494" s="137">
        <v>-6.0</v>
      </c>
      <c r="L494" s="137">
        <v>14.0</v>
      </c>
      <c r="M494" s="137">
        <v>14.0</v>
      </c>
    </row>
    <row r="495">
      <c r="A495" s="137">
        <v>6630.0</v>
      </c>
      <c r="B495" s="136" t="s">
        <v>1128</v>
      </c>
      <c r="C495" s="136" t="s">
        <v>1379</v>
      </c>
      <c r="D495" s="136" t="s">
        <v>1019</v>
      </c>
      <c r="E495" s="136" t="s">
        <v>1173</v>
      </c>
      <c r="F495" s="137">
        <v>7.0</v>
      </c>
      <c r="G495" s="137">
        <v>6.0</v>
      </c>
      <c r="H495" s="137">
        <v>1.0</v>
      </c>
      <c r="I495" s="137">
        <v>7.0</v>
      </c>
      <c r="J495" s="137">
        <v>6.0</v>
      </c>
      <c r="K495" s="137">
        <v>1.0</v>
      </c>
      <c r="L495" s="137">
        <v>12.0</v>
      </c>
      <c r="M495" s="137">
        <v>10.0</v>
      </c>
    </row>
    <row r="496">
      <c r="A496" s="137">
        <v>6439.0</v>
      </c>
      <c r="B496" s="136" t="s">
        <v>1128</v>
      </c>
      <c r="C496" s="136" t="s">
        <v>1379</v>
      </c>
      <c r="D496" s="136" t="s">
        <v>906</v>
      </c>
      <c r="E496" s="136" t="s">
        <v>1159</v>
      </c>
      <c r="F496" s="137">
        <v>7.0</v>
      </c>
      <c r="G496" s="137">
        <v>4.0</v>
      </c>
      <c r="H496" s="137">
        <v>3.0</v>
      </c>
      <c r="I496" s="137">
        <v>7.0</v>
      </c>
      <c r="J496" s="137">
        <v>4.0</v>
      </c>
      <c r="K496" s="137">
        <v>3.0</v>
      </c>
      <c r="L496" s="137">
        <v>10.0</v>
      </c>
      <c r="M496" s="137">
        <v>10.0</v>
      </c>
    </row>
    <row r="497">
      <c r="A497" s="137">
        <v>7252.0</v>
      </c>
      <c r="B497" s="136" t="s">
        <v>1128</v>
      </c>
      <c r="C497" s="136" t="s">
        <v>1379</v>
      </c>
      <c r="D497" s="136" t="s">
        <v>1067</v>
      </c>
      <c r="E497" s="136" t="s">
        <v>1159</v>
      </c>
      <c r="F497" s="137">
        <v>7.0</v>
      </c>
      <c r="G497" s="137">
        <v>13.0</v>
      </c>
      <c r="H497" s="137">
        <v>-6.0</v>
      </c>
      <c r="I497" s="137">
        <v>7.0</v>
      </c>
      <c r="J497" s="137">
        <v>13.0</v>
      </c>
      <c r="K497" s="137">
        <v>-6.0</v>
      </c>
      <c r="L497" s="137">
        <v>21.0</v>
      </c>
      <c r="M497" s="137">
        <v>18.0</v>
      </c>
    </row>
    <row r="498">
      <c r="A498" s="137">
        <v>6380.0</v>
      </c>
      <c r="B498" s="136" t="s">
        <v>1128</v>
      </c>
      <c r="C498" s="136" t="s">
        <v>1296</v>
      </c>
      <c r="D498" s="136" t="s">
        <v>1395</v>
      </c>
      <c r="E498" s="136" t="s">
        <v>1165</v>
      </c>
      <c r="F498" s="137">
        <v>7.0</v>
      </c>
      <c r="G498" s="137">
        <v>7.0</v>
      </c>
      <c r="H498" s="137">
        <v>0.0</v>
      </c>
      <c r="I498" s="137">
        <v>8.0</v>
      </c>
      <c r="J498" s="137">
        <v>8.0</v>
      </c>
      <c r="K498" s="137">
        <v>0.0</v>
      </c>
      <c r="L498" s="137">
        <v>15.0</v>
      </c>
      <c r="M498" s="137">
        <v>17.0</v>
      </c>
    </row>
    <row r="499">
      <c r="A499" s="137">
        <v>7128.0</v>
      </c>
      <c r="B499" s="136" t="s">
        <v>1128</v>
      </c>
      <c r="C499" s="136" t="s">
        <v>1296</v>
      </c>
      <c r="D499" s="136" t="s">
        <v>1115</v>
      </c>
      <c r="E499" s="136" t="s">
        <v>1156</v>
      </c>
      <c r="F499" s="137">
        <v>6.0</v>
      </c>
      <c r="G499" s="137">
        <v>14.0</v>
      </c>
      <c r="H499" s="137">
        <v>-8.0</v>
      </c>
      <c r="I499" s="137">
        <v>6.0</v>
      </c>
      <c r="J499" s="137">
        <v>15.0</v>
      </c>
      <c r="K499" s="137">
        <v>-9.0</v>
      </c>
      <c r="L499" s="137">
        <v>11.0</v>
      </c>
      <c r="M499" s="137">
        <v>14.0</v>
      </c>
    </row>
    <row r="500">
      <c r="A500" s="137">
        <v>6827.0</v>
      </c>
      <c r="B500" s="136" t="s">
        <v>1128</v>
      </c>
      <c r="C500" s="136" t="s">
        <v>1128</v>
      </c>
      <c r="D500" s="136" t="s">
        <v>1396</v>
      </c>
      <c r="E500" s="136" t="s">
        <v>1175</v>
      </c>
      <c r="F500" s="137">
        <v>6.0</v>
      </c>
      <c r="G500" s="137">
        <v>1.0</v>
      </c>
      <c r="H500" s="137">
        <v>5.0</v>
      </c>
      <c r="I500" s="137">
        <v>6.0</v>
      </c>
      <c r="J500" s="137">
        <v>1.0</v>
      </c>
      <c r="K500" s="137">
        <v>5.0</v>
      </c>
      <c r="L500" s="137">
        <v>4.0</v>
      </c>
      <c r="M500" s="137">
        <v>4.0</v>
      </c>
    </row>
    <row r="501">
      <c r="A501" s="137">
        <v>479.0</v>
      </c>
      <c r="B501" s="136" t="s">
        <v>1128</v>
      </c>
      <c r="C501" s="136" t="s">
        <v>1379</v>
      </c>
      <c r="D501" s="136" t="s">
        <v>648</v>
      </c>
      <c r="E501" s="136" t="s">
        <v>1160</v>
      </c>
      <c r="F501" s="137">
        <v>6.0</v>
      </c>
      <c r="G501" s="137">
        <v>7.0</v>
      </c>
      <c r="H501" s="137">
        <v>-1.0</v>
      </c>
      <c r="I501" s="137">
        <v>6.0</v>
      </c>
      <c r="J501" s="137">
        <v>6.0</v>
      </c>
      <c r="K501" s="137">
        <v>0.0</v>
      </c>
      <c r="L501" s="137">
        <v>10.0</v>
      </c>
      <c r="M501" s="137">
        <v>10.0</v>
      </c>
    </row>
    <row r="502">
      <c r="A502" s="137">
        <v>608.0</v>
      </c>
      <c r="B502" s="136" t="s">
        <v>1128</v>
      </c>
      <c r="C502" s="136" t="s">
        <v>1379</v>
      </c>
      <c r="D502" s="136" t="s">
        <v>651</v>
      </c>
      <c r="E502" s="136" t="s">
        <v>1175</v>
      </c>
      <c r="F502" s="137">
        <v>6.0</v>
      </c>
      <c r="G502" s="137">
        <v>20.0</v>
      </c>
      <c r="H502" s="137">
        <v>-14.0</v>
      </c>
      <c r="I502" s="137">
        <v>6.0</v>
      </c>
      <c r="J502" s="137">
        <v>20.0</v>
      </c>
      <c r="K502" s="137">
        <v>-14.0</v>
      </c>
      <c r="L502" s="137">
        <v>14.0</v>
      </c>
      <c r="M502" s="137">
        <v>11.0</v>
      </c>
    </row>
    <row r="503">
      <c r="A503" s="137">
        <v>6159.0</v>
      </c>
      <c r="B503" s="136" t="s">
        <v>1128</v>
      </c>
      <c r="C503" s="136" t="s">
        <v>1128</v>
      </c>
      <c r="D503" s="136" t="s">
        <v>1111</v>
      </c>
      <c r="E503" s="136" t="s">
        <v>1173</v>
      </c>
      <c r="F503" s="137">
        <v>6.0</v>
      </c>
      <c r="G503" s="137">
        <v>8.0</v>
      </c>
      <c r="H503" s="137">
        <v>-2.0</v>
      </c>
      <c r="I503" s="137">
        <v>6.0</v>
      </c>
      <c r="J503" s="137">
        <v>8.0</v>
      </c>
      <c r="K503" s="137">
        <v>-2.0</v>
      </c>
      <c r="L503" s="137">
        <v>9.0</v>
      </c>
      <c r="M503" s="137">
        <v>9.0</v>
      </c>
    </row>
    <row r="504">
      <c r="A504" s="137">
        <v>7347.0</v>
      </c>
      <c r="B504" s="136" t="s">
        <v>1128</v>
      </c>
      <c r="C504" s="136" t="s">
        <v>1128</v>
      </c>
      <c r="D504" s="136" t="s">
        <v>1397</v>
      </c>
      <c r="E504" s="136" t="s">
        <v>1173</v>
      </c>
      <c r="F504" s="137">
        <v>6.0</v>
      </c>
      <c r="G504" s="137">
        <v>6.0</v>
      </c>
      <c r="H504" s="137">
        <v>0.0</v>
      </c>
      <c r="I504" s="137">
        <v>6.0</v>
      </c>
      <c r="J504" s="137">
        <v>6.0</v>
      </c>
      <c r="K504" s="137">
        <v>0.0</v>
      </c>
      <c r="L504" s="137">
        <v>13.0</v>
      </c>
      <c r="M504" s="137">
        <v>13.0</v>
      </c>
    </row>
    <row r="505">
      <c r="A505" s="137">
        <v>2832.0</v>
      </c>
      <c r="B505" s="136" t="s">
        <v>1128</v>
      </c>
      <c r="C505" s="136" t="s">
        <v>1296</v>
      </c>
      <c r="D505" s="136" t="s">
        <v>1398</v>
      </c>
      <c r="E505" s="136" t="s">
        <v>1158</v>
      </c>
      <c r="F505" s="137">
        <v>6.0</v>
      </c>
      <c r="G505" s="137">
        <v>6.0</v>
      </c>
      <c r="H505" s="137">
        <v>0.0</v>
      </c>
      <c r="I505" s="137">
        <v>7.0</v>
      </c>
      <c r="J505" s="137">
        <v>7.0</v>
      </c>
      <c r="K505" s="137">
        <v>0.0</v>
      </c>
      <c r="L505" s="137">
        <v>13.0</v>
      </c>
      <c r="M505" s="137">
        <v>15.0</v>
      </c>
    </row>
    <row r="506">
      <c r="A506" s="137">
        <v>6895.0</v>
      </c>
      <c r="B506" s="136" t="s">
        <v>1128</v>
      </c>
      <c r="C506" s="136" t="s">
        <v>1296</v>
      </c>
      <c r="D506" s="136" t="s">
        <v>1399</v>
      </c>
      <c r="E506" s="136" t="s">
        <v>1169</v>
      </c>
      <c r="F506" s="137">
        <v>5.0</v>
      </c>
      <c r="G506" s="137">
        <v>9.0</v>
      </c>
      <c r="H506" s="137">
        <v>-4.0</v>
      </c>
      <c r="I506" s="137">
        <v>5.0</v>
      </c>
      <c r="J506" s="137">
        <v>9.0</v>
      </c>
      <c r="K506" s="137">
        <v>-4.0</v>
      </c>
      <c r="L506" s="137">
        <v>15.0</v>
      </c>
      <c r="M506" s="137">
        <v>17.0</v>
      </c>
    </row>
    <row r="507">
      <c r="A507" s="137">
        <v>5672.0</v>
      </c>
      <c r="B507" s="136" t="s">
        <v>1128</v>
      </c>
      <c r="C507" s="136" t="s">
        <v>1379</v>
      </c>
      <c r="D507" s="136" t="s">
        <v>784</v>
      </c>
      <c r="E507" s="136" t="s">
        <v>1157</v>
      </c>
      <c r="F507" s="137">
        <v>5.0</v>
      </c>
      <c r="G507" s="137">
        <v>20.0</v>
      </c>
      <c r="H507" s="137">
        <v>-15.0</v>
      </c>
      <c r="I507" s="137">
        <v>5.0</v>
      </c>
      <c r="J507" s="137">
        <v>20.0</v>
      </c>
      <c r="K507" s="137">
        <v>-15.0</v>
      </c>
      <c r="L507" s="137">
        <v>12.0</v>
      </c>
      <c r="M507" s="137">
        <v>10.0</v>
      </c>
    </row>
    <row r="508">
      <c r="A508" s="137">
        <v>7349.0</v>
      </c>
      <c r="B508" s="136" t="s">
        <v>1128</v>
      </c>
      <c r="C508" s="136" t="s">
        <v>1379</v>
      </c>
      <c r="D508" s="136" t="s">
        <v>1400</v>
      </c>
      <c r="E508" s="136" t="s">
        <v>1175</v>
      </c>
      <c r="F508" s="137">
        <v>5.0</v>
      </c>
      <c r="G508" s="137">
        <v>5.0</v>
      </c>
      <c r="H508" s="137">
        <v>0.0</v>
      </c>
      <c r="I508" s="137">
        <v>5.0</v>
      </c>
      <c r="J508" s="137">
        <v>5.0</v>
      </c>
      <c r="K508" s="137">
        <v>0.0</v>
      </c>
      <c r="L508" s="137">
        <v>12.0</v>
      </c>
      <c r="M508" s="137">
        <v>12.0</v>
      </c>
    </row>
    <row r="509">
      <c r="A509" s="137">
        <v>6967.0</v>
      </c>
      <c r="B509" s="136" t="s">
        <v>1128</v>
      </c>
      <c r="C509" s="136" t="s">
        <v>1296</v>
      </c>
      <c r="D509" s="136" t="s">
        <v>1118</v>
      </c>
      <c r="E509" s="136" t="s">
        <v>1156</v>
      </c>
      <c r="F509" s="137">
        <v>4.0</v>
      </c>
      <c r="G509" s="137">
        <v>17.0</v>
      </c>
      <c r="H509" s="137">
        <v>-13.0</v>
      </c>
      <c r="I509" s="137">
        <v>4.0</v>
      </c>
      <c r="J509" s="137">
        <v>18.0</v>
      </c>
      <c r="K509" s="137">
        <v>-14.0</v>
      </c>
      <c r="L509" s="137">
        <v>14.0</v>
      </c>
      <c r="M509" s="137">
        <v>17.0</v>
      </c>
    </row>
    <row r="510">
      <c r="A510" s="137">
        <v>6519.0</v>
      </c>
      <c r="B510" s="136" t="s">
        <v>1128</v>
      </c>
      <c r="C510" s="136" t="s">
        <v>1379</v>
      </c>
      <c r="D510" s="136" t="s">
        <v>1064</v>
      </c>
      <c r="E510" s="136" t="s">
        <v>1159</v>
      </c>
      <c r="F510" s="137">
        <v>4.0</v>
      </c>
      <c r="G510" s="137">
        <v>12.0</v>
      </c>
      <c r="H510" s="137">
        <v>-8.0</v>
      </c>
      <c r="I510" s="137">
        <v>4.0</v>
      </c>
      <c r="J510" s="137">
        <v>12.0</v>
      </c>
      <c r="K510" s="137">
        <v>-8.0</v>
      </c>
      <c r="L510" s="137">
        <v>10.0</v>
      </c>
      <c r="M510" s="137">
        <v>10.0</v>
      </c>
    </row>
    <row r="511">
      <c r="A511" s="137">
        <v>7344.0</v>
      </c>
      <c r="B511" s="136" t="s">
        <v>1128</v>
      </c>
      <c r="C511" s="136" t="s">
        <v>1379</v>
      </c>
      <c r="D511" s="136" t="s">
        <v>1401</v>
      </c>
      <c r="E511" s="136" t="s">
        <v>1172</v>
      </c>
      <c r="F511" s="137">
        <v>4.0</v>
      </c>
      <c r="G511" s="137">
        <v>4.0</v>
      </c>
      <c r="H511" s="137">
        <v>0.0</v>
      </c>
      <c r="I511" s="137">
        <v>4.0</v>
      </c>
      <c r="J511" s="137">
        <v>4.0</v>
      </c>
      <c r="K511" s="137">
        <v>0.0</v>
      </c>
      <c r="L511" s="137">
        <v>11.0</v>
      </c>
      <c r="M511" s="137">
        <v>11.0</v>
      </c>
    </row>
    <row r="512">
      <c r="A512" s="137">
        <v>6207.0</v>
      </c>
      <c r="B512" s="136" t="s">
        <v>1128</v>
      </c>
      <c r="C512" s="136" t="s">
        <v>1296</v>
      </c>
      <c r="D512" s="136" t="s">
        <v>853</v>
      </c>
      <c r="E512" s="136" t="s">
        <v>1167</v>
      </c>
      <c r="F512" s="137">
        <v>3.0</v>
      </c>
      <c r="G512" s="137">
        <v>4.0</v>
      </c>
      <c r="H512" s="137">
        <v>-1.0</v>
      </c>
      <c r="I512" s="137">
        <v>3.0</v>
      </c>
      <c r="J512" s="137">
        <v>4.0</v>
      </c>
      <c r="K512" s="137">
        <v>-1.0</v>
      </c>
      <c r="L512" s="137">
        <v>10.0</v>
      </c>
      <c r="M512" s="137">
        <v>13.0</v>
      </c>
    </row>
    <row r="513">
      <c r="A513" s="137">
        <v>7161.0</v>
      </c>
      <c r="B513" s="136" t="s">
        <v>1128</v>
      </c>
      <c r="C513" s="136" t="s">
        <v>1379</v>
      </c>
      <c r="D513" s="136" t="s">
        <v>1402</v>
      </c>
      <c r="E513" s="136" t="s">
        <v>1168</v>
      </c>
      <c r="F513" s="137">
        <v>3.0</v>
      </c>
      <c r="G513" s="137">
        <v>4.0</v>
      </c>
      <c r="H513" s="137">
        <v>-1.0</v>
      </c>
      <c r="I513" s="137">
        <v>3.0</v>
      </c>
      <c r="J513" s="137">
        <v>4.0</v>
      </c>
      <c r="K513" s="137">
        <v>-1.0</v>
      </c>
      <c r="L513" s="137">
        <v>8.0</v>
      </c>
      <c r="M513" s="137">
        <v>8.0</v>
      </c>
    </row>
    <row r="514">
      <c r="A514" s="137">
        <v>7183.0</v>
      </c>
      <c r="B514" s="136" t="s">
        <v>1128</v>
      </c>
      <c r="C514" s="136" t="s">
        <v>1128</v>
      </c>
      <c r="D514" s="136" t="s">
        <v>1403</v>
      </c>
      <c r="E514" s="136" t="s">
        <v>1175</v>
      </c>
      <c r="F514" s="137">
        <v>3.0</v>
      </c>
      <c r="G514" s="137">
        <v>9.0</v>
      </c>
      <c r="H514" s="137">
        <v>-6.0</v>
      </c>
      <c r="I514" s="137">
        <v>3.0</v>
      </c>
      <c r="J514" s="137">
        <v>9.0</v>
      </c>
      <c r="K514" s="137">
        <v>-6.0</v>
      </c>
      <c r="L514" s="137">
        <v>9.0</v>
      </c>
      <c r="M514" s="137">
        <v>9.0</v>
      </c>
    </row>
    <row r="515">
      <c r="A515" s="137">
        <v>313.0</v>
      </c>
      <c r="B515" s="136" t="s">
        <v>1128</v>
      </c>
      <c r="C515" s="136" t="s">
        <v>1379</v>
      </c>
      <c r="D515" s="136" t="s">
        <v>1015</v>
      </c>
      <c r="E515" s="136" t="s">
        <v>1156</v>
      </c>
      <c r="F515" s="137">
        <v>3.0</v>
      </c>
      <c r="G515" s="137">
        <v>18.0</v>
      </c>
      <c r="H515" s="137">
        <v>-15.0</v>
      </c>
      <c r="I515" s="137">
        <v>3.0</v>
      </c>
      <c r="J515" s="137">
        <v>18.0</v>
      </c>
      <c r="K515" s="137">
        <v>-15.0</v>
      </c>
      <c r="L515" s="137">
        <v>12.0</v>
      </c>
      <c r="M515" s="137">
        <v>10.0</v>
      </c>
    </row>
    <row r="516">
      <c r="A516" s="137">
        <v>5471.0</v>
      </c>
      <c r="B516" s="136" t="s">
        <v>1128</v>
      </c>
      <c r="C516" s="136" t="s">
        <v>1379</v>
      </c>
      <c r="D516" s="136" t="s">
        <v>857</v>
      </c>
      <c r="E516" s="136" t="s">
        <v>1160</v>
      </c>
      <c r="F516" s="137">
        <v>2.0</v>
      </c>
      <c r="G516" s="137">
        <v>9.0</v>
      </c>
      <c r="H516" s="137">
        <v>-7.0</v>
      </c>
      <c r="I516" s="137">
        <v>1.0</v>
      </c>
      <c r="J516" s="137">
        <v>8.0</v>
      </c>
      <c r="K516" s="137">
        <v>-7.0</v>
      </c>
      <c r="L516" s="137">
        <v>10.0</v>
      </c>
      <c r="M516" s="137">
        <v>10.0</v>
      </c>
    </row>
    <row r="517">
      <c r="A517" s="137">
        <v>7158.0</v>
      </c>
      <c r="B517" s="136" t="s">
        <v>1128</v>
      </c>
      <c r="C517" s="136" t="s">
        <v>1379</v>
      </c>
      <c r="D517" s="136" t="s">
        <v>1404</v>
      </c>
      <c r="E517" s="136" t="s">
        <v>1164</v>
      </c>
      <c r="F517" s="137">
        <v>2.0</v>
      </c>
      <c r="G517" s="137">
        <v>1.0</v>
      </c>
      <c r="H517" s="137">
        <v>1.0</v>
      </c>
      <c r="I517" s="137">
        <v>2.0</v>
      </c>
      <c r="J517" s="137">
        <v>1.0</v>
      </c>
      <c r="K517" s="137">
        <v>1.0</v>
      </c>
      <c r="L517" s="137">
        <v>1.0</v>
      </c>
      <c r="M517" s="137">
        <v>1.0</v>
      </c>
    </row>
    <row r="518">
      <c r="A518" s="137">
        <v>6555.0</v>
      </c>
      <c r="B518" s="136" t="s">
        <v>1128</v>
      </c>
      <c r="C518" s="136" t="s">
        <v>1379</v>
      </c>
      <c r="D518" s="136" t="s">
        <v>1405</v>
      </c>
      <c r="E518" s="136" t="s">
        <v>1160</v>
      </c>
      <c r="F518" s="137">
        <v>2.0</v>
      </c>
      <c r="G518" s="137">
        <v>6.0</v>
      </c>
      <c r="H518" s="137">
        <v>-4.0</v>
      </c>
      <c r="I518" s="137">
        <v>2.0</v>
      </c>
      <c r="J518" s="137">
        <v>6.0</v>
      </c>
      <c r="K518" s="137">
        <v>-4.0</v>
      </c>
      <c r="L518" s="137">
        <v>9.0</v>
      </c>
      <c r="M518" s="137">
        <v>9.0</v>
      </c>
    </row>
    <row r="519">
      <c r="A519" s="137">
        <v>7272.0</v>
      </c>
      <c r="B519" s="136" t="s">
        <v>1128</v>
      </c>
      <c r="C519" s="136" t="s">
        <v>1379</v>
      </c>
      <c r="D519" s="136" t="s">
        <v>1406</v>
      </c>
      <c r="E519" s="136" t="s">
        <v>1168</v>
      </c>
      <c r="F519" s="137">
        <v>2.0</v>
      </c>
      <c r="G519" s="137">
        <v>1.0</v>
      </c>
      <c r="H519" s="137">
        <v>1.0</v>
      </c>
      <c r="I519" s="137">
        <v>2.0</v>
      </c>
      <c r="J519" s="137">
        <v>1.0</v>
      </c>
      <c r="K519" s="137">
        <v>1.0</v>
      </c>
      <c r="L519" s="137">
        <v>1.0</v>
      </c>
      <c r="M519" s="137">
        <v>1.0</v>
      </c>
    </row>
    <row r="520">
      <c r="A520" s="137">
        <v>7309.0</v>
      </c>
      <c r="B520" s="136" t="s">
        <v>1128</v>
      </c>
      <c r="C520" s="136" t="s">
        <v>1379</v>
      </c>
      <c r="D520" s="136" t="s">
        <v>1407</v>
      </c>
      <c r="E520" s="136" t="s">
        <v>1173</v>
      </c>
      <c r="F520" s="137">
        <v>2.0</v>
      </c>
      <c r="G520" s="137">
        <v>1.0</v>
      </c>
      <c r="H520" s="137">
        <v>1.0</v>
      </c>
      <c r="I520" s="137">
        <v>2.0</v>
      </c>
      <c r="J520" s="137">
        <v>1.0</v>
      </c>
      <c r="K520" s="137">
        <v>1.0</v>
      </c>
      <c r="L520" s="137">
        <v>1.0</v>
      </c>
      <c r="M520" s="137">
        <v>1.0</v>
      </c>
    </row>
    <row r="521">
      <c r="A521" s="137">
        <v>247.0</v>
      </c>
      <c r="B521" s="136" t="s">
        <v>1128</v>
      </c>
      <c r="C521" s="136" t="s">
        <v>1379</v>
      </c>
      <c r="D521" s="136" t="s">
        <v>1408</v>
      </c>
      <c r="E521" s="136" t="s">
        <v>1162</v>
      </c>
      <c r="F521" s="137">
        <v>1.0</v>
      </c>
      <c r="G521" s="137">
        <v>1.0</v>
      </c>
      <c r="H521" s="137">
        <v>0.0</v>
      </c>
      <c r="I521" s="137">
        <v>1.0</v>
      </c>
      <c r="J521" s="137">
        <v>1.0</v>
      </c>
      <c r="K521" s="137">
        <v>0.0</v>
      </c>
      <c r="L521" s="137">
        <v>3.0</v>
      </c>
      <c r="M521" s="137">
        <v>3.0</v>
      </c>
    </row>
    <row r="522">
      <c r="A522" s="137">
        <v>5515.0</v>
      </c>
      <c r="B522" s="136" t="s">
        <v>1128</v>
      </c>
      <c r="C522" s="136" t="s">
        <v>1128</v>
      </c>
      <c r="D522" s="136" t="s">
        <v>656</v>
      </c>
      <c r="E522" s="136" t="s">
        <v>1160</v>
      </c>
      <c r="F522" s="137">
        <v>1.0</v>
      </c>
      <c r="G522" s="137">
        <v>5.0</v>
      </c>
      <c r="H522" s="137">
        <v>-4.0</v>
      </c>
      <c r="I522" s="137">
        <v>1.0</v>
      </c>
      <c r="J522" s="137">
        <v>5.0</v>
      </c>
      <c r="K522" s="137">
        <v>-4.0</v>
      </c>
      <c r="L522" s="137">
        <v>3.0</v>
      </c>
      <c r="M522" s="137">
        <v>3.0</v>
      </c>
    </row>
    <row r="523">
      <c r="A523" s="137">
        <v>2012.0</v>
      </c>
      <c r="B523" s="136" t="s">
        <v>1128</v>
      </c>
      <c r="C523" s="136" t="s">
        <v>1379</v>
      </c>
      <c r="D523" s="136" t="s">
        <v>772</v>
      </c>
      <c r="E523" s="136" t="s">
        <v>1158</v>
      </c>
      <c r="F523" s="137">
        <v>1.0</v>
      </c>
      <c r="G523" s="137">
        <v>1.0</v>
      </c>
      <c r="H523" s="137">
        <v>0.0</v>
      </c>
      <c r="I523" s="137">
        <v>1.0</v>
      </c>
      <c r="J523" s="137">
        <v>1.0</v>
      </c>
      <c r="K523" s="137">
        <v>0.0</v>
      </c>
      <c r="L523" s="137">
        <v>5.0</v>
      </c>
      <c r="M523" s="137">
        <v>3.0</v>
      </c>
    </row>
    <row r="524">
      <c r="A524" s="137">
        <v>7213.0</v>
      </c>
      <c r="B524" s="136" t="s">
        <v>1128</v>
      </c>
      <c r="C524" s="136" t="s">
        <v>1379</v>
      </c>
      <c r="D524" s="136" t="s">
        <v>1409</v>
      </c>
      <c r="E524" s="136" t="s">
        <v>1167</v>
      </c>
      <c r="F524" s="137">
        <v>1.0</v>
      </c>
      <c r="G524" s="137">
        <v>7.0</v>
      </c>
      <c r="H524" s="137">
        <v>-6.0</v>
      </c>
      <c r="I524" s="137">
        <v>1.0</v>
      </c>
      <c r="J524" s="137">
        <v>6.0</v>
      </c>
      <c r="K524" s="137">
        <v>-5.0</v>
      </c>
      <c r="L524" s="137">
        <v>7.0</v>
      </c>
      <c r="M524" s="137">
        <v>7.0</v>
      </c>
    </row>
    <row r="525">
      <c r="A525" s="137">
        <v>2762.0</v>
      </c>
      <c r="B525" s="136" t="s">
        <v>1128</v>
      </c>
      <c r="C525" s="136" t="s">
        <v>1128</v>
      </c>
      <c r="D525" s="136" t="s">
        <v>1410</v>
      </c>
      <c r="E525" s="136" t="s">
        <v>1165</v>
      </c>
      <c r="F525" s="137">
        <v>1.0</v>
      </c>
      <c r="G525" s="137">
        <v>1.0</v>
      </c>
      <c r="H525" s="137">
        <v>0.0</v>
      </c>
      <c r="I525" s="137">
        <v>1.0</v>
      </c>
      <c r="J525" s="137">
        <v>1.0</v>
      </c>
      <c r="K525" s="137">
        <v>0.0</v>
      </c>
      <c r="L525" s="137">
        <v>1.0</v>
      </c>
      <c r="M525" s="137">
        <v>1.0</v>
      </c>
    </row>
    <row r="526">
      <c r="A526" s="137">
        <v>7262.0</v>
      </c>
      <c r="B526" s="136" t="s">
        <v>1128</v>
      </c>
      <c r="C526" s="136" t="s">
        <v>1128</v>
      </c>
      <c r="D526" s="136" t="s">
        <v>1411</v>
      </c>
      <c r="E526" s="136" t="s">
        <v>1152</v>
      </c>
      <c r="F526" s="137">
        <v>1.0</v>
      </c>
      <c r="G526" s="137">
        <v>1.0</v>
      </c>
      <c r="H526" s="137">
        <v>0.0</v>
      </c>
      <c r="I526" s="137">
        <v>1.0</v>
      </c>
      <c r="J526" s="137">
        <v>1.0</v>
      </c>
      <c r="K526" s="137">
        <v>0.0</v>
      </c>
      <c r="L526" s="137">
        <v>1.0</v>
      </c>
      <c r="M526" s="137">
        <v>1.0</v>
      </c>
    </row>
    <row r="527">
      <c r="A527" s="137">
        <v>7277.0</v>
      </c>
      <c r="B527" s="136" t="s">
        <v>1128</v>
      </c>
      <c r="C527" s="136" t="s">
        <v>1379</v>
      </c>
      <c r="D527" s="136" t="s">
        <v>1412</v>
      </c>
      <c r="E527" s="136" t="s">
        <v>1153</v>
      </c>
      <c r="F527" s="137">
        <v>1.0</v>
      </c>
      <c r="G527" s="137">
        <v>1.0</v>
      </c>
      <c r="H527" s="137">
        <v>0.0</v>
      </c>
      <c r="I527" s="137">
        <v>1.0</v>
      </c>
      <c r="J527" s="137">
        <v>1.0</v>
      </c>
      <c r="K527" s="137">
        <v>0.0</v>
      </c>
      <c r="L527" s="137">
        <v>1.0</v>
      </c>
      <c r="M527" s="137">
        <v>1.0</v>
      </c>
    </row>
    <row r="528">
      <c r="A528" s="137">
        <v>7317.0</v>
      </c>
      <c r="B528" s="136" t="s">
        <v>1128</v>
      </c>
      <c r="C528" s="136" t="s">
        <v>1379</v>
      </c>
      <c r="D528" s="136" t="s">
        <v>1413</v>
      </c>
      <c r="E528" s="136" t="s">
        <v>1162</v>
      </c>
      <c r="F528" s="137">
        <v>1.0</v>
      </c>
      <c r="G528" s="137">
        <v>1.0</v>
      </c>
      <c r="H528" s="137">
        <v>0.0</v>
      </c>
      <c r="I528" s="137">
        <v>1.0</v>
      </c>
      <c r="J528" s="137">
        <v>1.0</v>
      </c>
      <c r="K528" s="137">
        <v>0.0</v>
      </c>
      <c r="L528" s="137">
        <v>1.0</v>
      </c>
      <c r="M528" s="137">
        <v>1.0</v>
      </c>
    </row>
    <row r="529">
      <c r="A529" s="137">
        <v>7338.0</v>
      </c>
      <c r="B529" s="136" t="s">
        <v>1128</v>
      </c>
      <c r="C529" s="136" t="s">
        <v>1128</v>
      </c>
      <c r="D529" s="136" t="s">
        <v>1414</v>
      </c>
      <c r="E529" s="136" t="s">
        <v>1162</v>
      </c>
      <c r="F529" s="137">
        <v>1.0</v>
      </c>
      <c r="G529" s="137">
        <v>1.0</v>
      </c>
      <c r="H529" s="137">
        <v>0.0</v>
      </c>
      <c r="I529" s="137">
        <v>1.0</v>
      </c>
      <c r="J529" s="137">
        <v>1.0</v>
      </c>
      <c r="K529" s="137">
        <v>0.0</v>
      </c>
      <c r="L529" s="137">
        <v>1.0</v>
      </c>
      <c r="M529" s="137">
        <v>1.0</v>
      </c>
    </row>
    <row r="530">
      <c r="A530" s="137">
        <v>7342.0</v>
      </c>
      <c r="B530" s="136" t="s">
        <v>1128</v>
      </c>
      <c r="C530" s="136" t="s">
        <v>1379</v>
      </c>
      <c r="D530" s="136" t="s">
        <v>1415</v>
      </c>
      <c r="E530" s="136" t="s">
        <v>1167</v>
      </c>
      <c r="F530" s="137">
        <v>1.0</v>
      </c>
      <c r="G530" s="137">
        <v>1.0</v>
      </c>
      <c r="H530" s="137">
        <v>0.0</v>
      </c>
      <c r="I530" s="137">
        <v>1.0</v>
      </c>
      <c r="J530" s="137">
        <v>1.0</v>
      </c>
      <c r="K530" s="137">
        <v>0.0</v>
      </c>
      <c r="L530" s="137">
        <v>1.0</v>
      </c>
      <c r="M530" s="137">
        <v>1.0</v>
      </c>
    </row>
    <row r="531">
      <c r="A531" s="137">
        <v>1842.0</v>
      </c>
      <c r="B531" s="136" t="s">
        <v>1128</v>
      </c>
      <c r="C531" s="136" t="s">
        <v>1128</v>
      </c>
      <c r="D531" s="136" t="s">
        <v>1416</v>
      </c>
      <c r="E531" s="136" t="s">
        <v>1164</v>
      </c>
      <c r="F531" s="137">
        <v>2.0</v>
      </c>
      <c r="G531" s="137">
        <v>5.0</v>
      </c>
      <c r="H531" s="137">
        <v>-3.0</v>
      </c>
      <c r="I531" s="137">
        <v>2.0</v>
      </c>
      <c r="J531" s="137">
        <v>5.0</v>
      </c>
      <c r="K531" s="137">
        <v>-3.0</v>
      </c>
      <c r="L531" s="137">
        <v>8.0</v>
      </c>
      <c r="M531" s="137">
        <v>8.0</v>
      </c>
    </row>
    <row r="532">
      <c r="A532" s="137">
        <v>7183.0</v>
      </c>
      <c r="B532" s="136" t="s">
        <v>1128</v>
      </c>
      <c r="C532" s="136" t="s">
        <v>1128</v>
      </c>
      <c r="D532" s="136" t="s">
        <v>1403</v>
      </c>
      <c r="E532" s="136" t="s">
        <v>1175</v>
      </c>
      <c r="F532" s="137">
        <v>2.0</v>
      </c>
      <c r="G532" s="137">
        <v>9.0</v>
      </c>
      <c r="H532" s="137">
        <v>-7.0</v>
      </c>
      <c r="I532" s="137">
        <v>2.0</v>
      </c>
      <c r="J532" s="137">
        <v>9.0</v>
      </c>
      <c r="K532" s="137">
        <v>-7.0</v>
      </c>
      <c r="L532" s="137">
        <v>9.0</v>
      </c>
      <c r="M532" s="137">
        <v>9.0</v>
      </c>
    </row>
    <row r="533">
      <c r="A533" s="137">
        <v>7264.0</v>
      </c>
      <c r="B533" s="136" t="s">
        <v>1128</v>
      </c>
      <c r="C533" s="136" t="s">
        <v>1379</v>
      </c>
      <c r="D533" s="136" t="s">
        <v>1417</v>
      </c>
      <c r="E533" s="136" t="s">
        <v>1155</v>
      </c>
      <c r="F533" s="137">
        <v>2.0</v>
      </c>
      <c r="G533" s="137">
        <v>1.0</v>
      </c>
      <c r="H533" s="137">
        <v>1.0</v>
      </c>
      <c r="I533" s="137">
        <v>2.0</v>
      </c>
      <c r="J533" s="137">
        <v>1.0</v>
      </c>
      <c r="K533" s="137">
        <v>1.0</v>
      </c>
      <c r="L533" s="137">
        <v>1.0</v>
      </c>
      <c r="M533" s="137">
        <v>1.0</v>
      </c>
    </row>
    <row r="534">
      <c r="A534" s="137">
        <v>6555.0</v>
      </c>
      <c r="B534" s="136" t="s">
        <v>1128</v>
      </c>
      <c r="C534" s="136" t="s">
        <v>1379</v>
      </c>
      <c r="D534" s="136" t="s">
        <v>1405</v>
      </c>
      <c r="E534" s="136" t="s">
        <v>1160</v>
      </c>
      <c r="F534" s="137">
        <v>2.0</v>
      </c>
      <c r="G534" s="137">
        <v>6.0</v>
      </c>
      <c r="H534" s="137">
        <v>-4.0</v>
      </c>
      <c r="I534" s="137">
        <v>2.0</v>
      </c>
      <c r="J534" s="137">
        <v>6.0</v>
      </c>
      <c r="K534" s="137">
        <v>-4.0</v>
      </c>
      <c r="L534" s="137">
        <v>9.0</v>
      </c>
      <c r="M534" s="137">
        <v>9.0</v>
      </c>
    </row>
    <row r="535">
      <c r="A535" s="137">
        <v>7272.0</v>
      </c>
      <c r="B535" s="136" t="s">
        <v>1128</v>
      </c>
      <c r="C535" s="136" t="s">
        <v>1379</v>
      </c>
      <c r="D535" s="136" t="s">
        <v>1406</v>
      </c>
      <c r="E535" s="136" t="s">
        <v>1168</v>
      </c>
      <c r="F535" s="137">
        <v>2.0</v>
      </c>
      <c r="G535" s="137">
        <v>1.0</v>
      </c>
      <c r="H535" s="137">
        <v>1.0</v>
      </c>
      <c r="I535" s="137">
        <v>2.0</v>
      </c>
      <c r="J535" s="137">
        <v>1.0</v>
      </c>
      <c r="K535" s="137">
        <v>1.0</v>
      </c>
      <c r="L535" s="137">
        <v>1.0</v>
      </c>
      <c r="M535" s="137">
        <v>1.0</v>
      </c>
    </row>
    <row r="536">
      <c r="A536" s="137">
        <v>247.0</v>
      </c>
      <c r="B536" s="136" t="s">
        <v>1128</v>
      </c>
      <c r="C536" s="136" t="s">
        <v>1379</v>
      </c>
      <c r="D536" s="136" t="s">
        <v>1408</v>
      </c>
      <c r="E536" s="136" t="s">
        <v>1162</v>
      </c>
      <c r="F536" s="137">
        <v>1.0</v>
      </c>
      <c r="G536" s="137">
        <v>1.0</v>
      </c>
      <c r="H536" s="137">
        <v>0.0</v>
      </c>
      <c r="I536" s="137">
        <v>1.0</v>
      </c>
      <c r="J536" s="137">
        <v>1.0</v>
      </c>
      <c r="K536" s="137">
        <v>0.0</v>
      </c>
      <c r="L536" s="137">
        <v>3.0</v>
      </c>
      <c r="M536" s="137">
        <v>3.0</v>
      </c>
    </row>
    <row r="537">
      <c r="A537" s="137">
        <v>5515.0</v>
      </c>
      <c r="B537" s="136" t="s">
        <v>1128</v>
      </c>
      <c r="C537" s="136" t="s">
        <v>1128</v>
      </c>
      <c r="D537" s="136" t="s">
        <v>656</v>
      </c>
      <c r="E537" s="136" t="s">
        <v>1160</v>
      </c>
      <c r="F537" s="137">
        <v>1.0</v>
      </c>
      <c r="G537" s="137">
        <v>5.0</v>
      </c>
      <c r="H537" s="137">
        <v>-4.0</v>
      </c>
      <c r="I537" s="137">
        <v>1.0</v>
      </c>
      <c r="J537" s="137">
        <v>5.0</v>
      </c>
      <c r="K537" s="137">
        <v>-4.0</v>
      </c>
      <c r="L537" s="137">
        <v>3.0</v>
      </c>
      <c r="M537" s="137">
        <v>3.0</v>
      </c>
    </row>
    <row r="538">
      <c r="A538" s="137">
        <v>2012.0</v>
      </c>
      <c r="B538" s="136" t="s">
        <v>1128</v>
      </c>
      <c r="C538" s="136" t="s">
        <v>1379</v>
      </c>
      <c r="D538" s="136" t="s">
        <v>772</v>
      </c>
      <c r="E538" s="136" t="s">
        <v>1158</v>
      </c>
      <c r="F538" s="137">
        <v>1.0</v>
      </c>
      <c r="G538" s="137">
        <v>1.0</v>
      </c>
      <c r="H538" s="137">
        <v>0.0</v>
      </c>
      <c r="I538" s="137">
        <v>1.0</v>
      </c>
      <c r="J538" s="137">
        <v>1.0</v>
      </c>
      <c r="K538" s="137">
        <v>0.0</v>
      </c>
      <c r="L538" s="137">
        <v>5.0</v>
      </c>
      <c r="M538" s="137">
        <v>3.0</v>
      </c>
    </row>
    <row r="539">
      <c r="A539" s="137">
        <v>7171.0</v>
      </c>
      <c r="B539" s="136" t="s">
        <v>1128</v>
      </c>
      <c r="C539" s="136" t="s">
        <v>1128</v>
      </c>
      <c r="D539" s="136" t="s">
        <v>1418</v>
      </c>
      <c r="E539" s="136" t="s">
        <v>1172</v>
      </c>
      <c r="F539" s="137">
        <v>1.0</v>
      </c>
      <c r="G539" s="137">
        <v>1.0</v>
      </c>
      <c r="H539" s="137">
        <v>0.0</v>
      </c>
      <c r="I539" s="137">
        <v>1.0</v>
      </c>
      <c r="J539" s="137">
        <v>1.0</v>
      </c>
      <c r="K539" s="137">
        <v>0.0</v>
      </c>
      <c r="L539" s="137">
        <v>1.0</v>
      </c>
      <c r="M539" s="137">
        <v>1.0</v>
      </c>
    </row>
    <row r="540">
      <c r="A540" s="137">
        <v>7158.0</v>
      </c>
      <c r="B540" s="136" t="s">
        <v>1128</v>
      </c>
      <c r="C540" s="136" t="s">
        <v>1379</v>
      </c>
      <c r="D540" s="136" t="s">
        <v>1404</v>
      </c>
      <c r="E540" s="136" t="s">
        <v>1164</v>
      </c>
      <c r="F540" s="137">
        <v>1.0</v>
      </c>
      <c r="G540" s="137">
        <v>1.0</v>
      </c>
      <c r="H540" s="137">
        <v>0.0</v>
      </c>
      <c r="I540" s="137">
        <v>1.0</v>
      </c>
      <c r="J540" s="137">
        <v>1.0</v>
      </c>
      <c r="K540" s="137">
        <v>0.0</v>
      </c>
      <c r="L540" s="137">
        <v>1.0</v>
      </c>
      <c r="M540" s="137">
        <v>1.0</v>
      </c>
    </row>
    <row r="541">
      <c r="A541" s="137">
        <v>7159.0</v>
      </c>
      <c r="B541" s="136" t="s">
        <v>1128</v>
      </c>
      <c r="C541" s="136" t="s">
        <v>1379</v>
      </c>
      <c r="D541" s="136" t="s">
        <v>1419</v>
      </c>
      <c r="E541" s="136" t="s">
        <v>1164</v>
      </c>
      <c r="F541" s="137">
        <v>1.0</v>
      </c>
      <c r="G541" s="137">
        <v>1.0</v>
      </c>
      <c r="H541" s="137">
        <v>0.0</v>
      </c>
      <c r="I541" s="137">
        <v>1.0</v>
      </c>
      <c r="J541" s="137">
        <v>1.0</v>
      </c>
      <c r="K541" s="137">
        <v>0.0</v>
      </c>
      <c r="L541" s="137">
        <v>1.0</v>
      </c>
      <c r="M541" s="137">
        <v>1.0</v>
      </c>
    </row>
    <row r="542">
      <c r="A542" s="137">
        <v>7213.0</v>
      </c>
      <c r="B542" s="136" t="s">
        <v>1128</v>
      </c>
      <c r="C542" s="136" t="s">
        <v>1379</v>
      </c>
      <c r="D542" s="136" t="s">
        <v>1409</v>
      </c>
      <c r="E542" s="136" t="s">
        <v>1167</v>
      </c>
      <c r="F542" s="137">
        <v>1.0</v>
      </c>
      <c r="G542" s="137">
        <v>7.0</v>
      </c>
      <c r="H542" s="137">
        <v>-6.0</v>
      </c>
      <c r="I542" s="137">
        <v>1.0</v>
      </c>
      <c r="J542" s="137">
        <v>6.0</v>
      </c>
      <c r="K542" s="137">
        <v>-5.0</v>
      </c>
      <c r="L542" s="137">
        <v>7.0</v>
      </c>
      <c r="M542" s="137">
        <v>7.0</v>
      </c>
    </row>
    <row r="543">
      <c r="A543" s="137">
        <v>2762.0</v>
      </c>
      <c r="B543" s="136" t="s">
        <v>1128</v>
      </c>
      <c r="C543" s="136" t="s">
        <v>1128</v>
      </c>
      <c r="D543" s="136" t="s">
        <v>1410</v>
      </c>
      <c r="E543" s="136" t="s">
        <v>1165</v>
      </c>
      <c r="F543" s="137">
        <v>1.0</v>
      </c>
      <c r="G543" s="137">
        <v>1.0</v>
      </c>
      <c r="H543" s="137">
        <v>0.0</v>
      </c>
      <c r="I543" s="137">
        <v>1.0</v>
      </c>
      <c r="J543" s="137">
        <v>1.0</v>
      </c>
      <c r="K543" s="137">
        <v>0.0</v>
      </c>
      <c r="L543" s="137">
        <v>1.0</v>
      </c>
      <c r="M543" s="137">
        <v>1.0</v>
      </c>
    </row>
    <row r="544">
      <c r="A544" s="137">
        <v>7262.0</v>
      </c>
      <c r="B544" s="136" t="s">
        <v>1128</v>
      </c>
      <c r="C544" s="136" t="s">
        <v>1128</v>
      </c>
      <c r="D544" s="136" t="s">
        <v>1411</v>
      </c>
      <c r="E544" s="136" t="s">
        <v>1152</v>
      </c>
      <c r="F544" s="137">
        <v>1.0</v>
      </c>
      <c r="G544" s="137">
        <v>1.0</v>
      </c>
      <c r="H544" s="137">
        <v>0.0</v>
      </c>
      <c r="I544" s="137">
        <v>1.0</v>
      </c>
      <c r="J544" s="137">
        <v>1.0</v>
      </c>
      <c r="K544" s="137">
        <v>0.0</v>
      </c>
      <c r="L544" s="137">
        <v>1.0</v>
      </c>
      <c r="M544" s="137">
        <v>1.0</v>
      </c>
    </row>
    <row r="545">
      <c r="A545" s="137">
        <v>7277.0</v>
      </c>
      <c r="B545" s="136" t="s">
        <v>1128</v>
      </c>
      <c r="C545" s="136" t="s">
        <v>1379</v>
      </c>
      <c r="D545" s="136" t="s">
        <v>1412</v>
      </c>
      <c r="E545" s="136" t="s">
        <v>1153</v>
      </c>
      <c r="F545" s="137">
        <v>1.0</v>
      </c>
      <c r="G545" s="137">
        <v>1.0</v>
      </c>
      <c r="H545" s="137">
        <v>0.0</v>
      </c>
      <c r="I545" s="137">
        <v>1.0</v>
      </c>
      <c r="J545" s="137">
        <v>1.0</v>
      </c>
      <c r="K545" s="137">
        <v>0.0</v>
      </c>
      <c r="L545" s="137">
        <v>1.0</v>
      </c>
      <c r="M545" s="137">
        <v>1.0</v>
      </c>
    </row>
    <row r="546">
      <c r="A546" s="137">
        <v>7309.0</v>
      </c>
      <c r="B546" s="136" t="s">
        <v>1128</v>
      </c>
      <c r="C546" s="136" t="s">
        <v>1379</v>
      </c>
      <c r="D546" s="136" t="s">
        <v>1407</v>
      </c>
      <c r="E546" s="136" t="s">
        <v>1173</v>
      </c>
      <c r="F546" s="137">
        <v>1.0</v>
      </c>
      <c r="G546" s="137">
        <v>1.0</v>
      </c>
      <c r="H546" s="137">
        <v>0.0</v>
      </c>
      <c r="I546" s="137">
        <v>1.0</v>
      </c>
      <c r="J546" s="137">
        <v>1.0</v>
      </c>
      <c r="K546" s="137">
        <v>0.0</v>
      </c>
      <c r="L546" s="137">
        <v>1.0</v>
      </c>
      <c r="M546" s="137">
        <v>1.0</v>
      </c>
    </row>
    <row r="547">
      <c r="A547" s="137">
        <v>7317.0</v>
      </c>
      <c r="B547" s="136" t="s">
        <v>1128</v>
      </c>
      <c r="C547" s="136" t="s">
        <v>1379</v>
      </c>
      <c r="D547" s="136" t="s">
        <v>1413</v>
      </c>
      <c r="E547" s="136" t="s">
        <v>1162</v>
      </c>
      <c r="F547" s="137">
        <v>1.0</v>
      </c>
      <c r="G547" s="137">
        <v>1.0</v>
      </c>
      <c r="H547" s="137">
        <v>0.0</v>
      </c>
      <c r="I547" s="137">
        <v>1.0</v>
      </c>
      <c r="J547" s="137">
        <v>1.0</v>
      </c>
      <c r="K547" s="137">
        <v>0.0</v>
      </c>
      <c r="L547" s="137">
        <v>1.0</v>
      </c>
      <c r="M547" s="137">
        <v>1.0</v>
      </c>
    </row>
    <row r="548">
      <c r="A548" s="137"/>
      <c r="B548" s="136"/>
      <c r="C548" s="136"/>
      <c r="D548" s="136"/>
      <c r="E548" s="136"/>
      <c r="F548" s="137"/>
      <c r="G548" s="137"/>
      <c r="H548" s="137"/>
      <c r="I548" s="137"/>
      <c r="J548" s="137"/>
      <c r="K548" s="137"/>
      <c r="L548" s="137"/>
    </row>
    <row r="549">
      <c r="A549" s="137"/>
      <c r="B549" s="136"/>
      <c r="C549" s="136"/>
      <c r="D549" s="136"/>
      <c r="E549" s="136"/>
      <c r="F549" s="137"/>
      <c r="G549" s="137"/>
      <c r="H549" s="137"/>
      <c r="I549" s="137"/>
      <c r="J549" s="137"/>
      <c r="K549" s="137"/>
      <c r="L549" s="137"/>
    </row>
    <row r="550">
      <c r="A550" s="137"/>
      <c r="B550" s="136"/>
      <c r="C550" s="136"/>
      <c r="D550" s="136"/>
      <c r="E550" s="136"/>
      <c r="F550" s="137"/>
      <c r="G550" s="137"/>
      <c r="H550" s="137"/>
      <c r="I550" s="137"/>
      <c r="J550" s="137"/>
      <c r="K550" s="137"/>
      <c r="L550" s="137"/>
    </row>
    <row r="551">
      <c r="A551" s="137"/>
      <c r="B551" s="136"/>
      <c r="C551" s="136"/>
      <c r="D551" s="136"/>
      <c r="E551" s="136"/>
      <c r="F551" s="137"/>
      <c r="G551" s="137"/>
      <c r="H551" s="137"/>
      <c r="I551" s="137"/>
      <c r="J551" s="137"/>
      <c r="K551" s="137"/>
      <c r="L551" s="137"/>
    </row>
    <row r="552">
      <c r="A552" s="137"/>
      <c r="B552" s="136"/>
      <c r="C552" s="136"/>
      <c r="D552" s="136"/>
      <c r="E552" s="136"/>
      <c r="F552" s="137"/>
      <c r="G552" s="137"/>
      <c r="H552" s="137"/>
      <c r="I552" s="137"/>
      <c r="J552" s="137"/>
      <c r="K552" s="137"/>
      <c r="L552" s="137"/>
    </row>
    <row r="553">
      <c r="A553" s="137"/>
      <c r="B553" s="136"/>
      <c r="C553" s="136"/>
      <c r="D553" s="136"/>
      <c r="E553" s="137"/>
      <c r="F553" s="137"/>
      <c r="G553" s="137"/>
    </row>
    <row r="554">
      <c r="A554" s="137"/>
      <c r="B554" s="136"/>
      <c r="C554" s="136"/>
      <c r="D554" s="136"/>
      <c r="E554" s="137"/>
      <c r="F554" s="137"/>
      <c r="G554" s="137"/>
    </row>
    <row r="555">
      <c r="A555" s="137"/>
      <c r="B555" s="136"/>
      <c r="C555" s="136"/>
      <c r="D555" s="136"/>
      <c r="E555" s="137"/>
      <c r="F555" s="137"/>
    </row>
    <row r="556">
      <c r="A556" s="136"/>
      <c r="B556" s="136"/>
      <c r="C556" s="136"/>
      <c r="D556" s="137"/>
      <c r="E556" s="137"/>
    </row>
    <row r="557">
      <c r="A557" s="136"/>
      <c r="B557" s="136"/>
      <c r="C557" s="136"/>
      <c r="D557" s="137"/>
      <c r="E557" s="137"/>
    </row>
    <row r="558">
      <c r="A558" s="136"/>
      <c r="B558" s="136"/>
      <c r="C558" s="136"/>
      <c r="D558" s="137"/>
      <c r="E558" s="137"/>
    </row>
    <row r="559">
      <c r="A559" s="136"/>
      <c r="B559" s="136"/>
      <c r="C559" s="136"/>
      <c r="D559" s="137"/>
      <c r="E559" s="137"/>
    </row>
    <row r="560">
      <c r="A560" s="136"/>
      <c r="B560" s="136"/>
      <c r="C560" s="136"/>
      <c r="D560" s="137"/>
      <c r="E560" s="137"/>
    </row>
    <row r="561">
      <c r="A561" s="136"/>
      <c r="B561" s="136"/>
      <c r="C561" s="136"/>
      <c r="D561" s="137"/>
      <c r="E561" s="137"/>
    </row>
    <row r="562">
      <c r="A562" s="136"/>
      <c r="B562" s="136"/>
      <c r="C562" s="136"/>
      <c r="D562" s="137"/>
      <c r="E562" s="137"/>
    </row>
    <row r="563">
      <c r="A563" s="136"/>
      <c r="B563" s="136"/>
      <c r="C563" s="136"/>
      <c r="D563" s="137"/>
      <c r="E563" s="137"/>
    </row>
    <row r="564">
      <c r="A564" s="137"/>
      <c r="B564" s="136"/>
      <c r="C564" s="136"/>
      <c r="D564" s="136"/>
      <c r="E564" s="137"/>
      <c r="F564" s="137"/>
      <c r="G564" s="137"/>
    </row>
    <row r="565">
      <c r="A565" s="137"/>
      <c r="B565" s="136"/>
      <c r="C565" s="136"/>
      <c r="D565" s="136"/>
      <c r="E565" s="137"/>
      <c r="F565" s="137"/>
      <c r="G565" s="137"/>
    </row>
    <row r="566">
      <c r="A566" s="137"/>
      <c r="B566" s="136"/>
      <c r="C566" s="136"/>
      <c r="D566" s="136"/>
      <c r="E566" s="137"/>
      <c r="F566" s="137"/>
      <c r="G566" s="137"/>
    </row>
    <row r="567">
      <c r="A567" s="137"/>
      <c r="B567" s="136"/>
      <c r="C567" s="136"/>
      <c r="D567" s="136"/>
      <c r="E567" s="137"/>
      <c r="F567" s="137"/>
      <c r="G567" s="137"/>
    </row>
    <row r="568">
      <c r="A568" s="137"/>
      <c r="B568" s="136"/>
      <c r="C568" s="136"/>
      <c r="D568" s="136"/>
      <c r="E568" s="137"/>
      <c r="F568" s="137"/>
      <c r="G568" s="137"/>
    </row>
    <row r="569">
      <c r="A569" s="137"/>
      <c r="B569" s="136"/>
      <c r="C569" s="136"/>
      <c r="D569" s="136"/>
      <c r="E569" s="137"/>
      <c r="F569" s="137"/>
      <c r="G569" s="137"/>
    </row>
    <row r="570">
      <c r="A570" s="137"/>
      <c r="B570" s="136"/>
      <c r="C570" s="136"/>
      <c r="D570" s="136"/>
      <c r="E570" s="137"/>
      <c r="F570" s="137"/>
      <c r="G570" s="137"/>
    </row>
    <row r="571">
      <c r="A571" s="137"/>
      <c r="B571" s="136"/>
      <c r="C571" s="136"/>
      <c r="D571" s="136"/>
      <c r="E571" s="137"/>
      <c r="F571" s="137"/>
      <c r="G571" s="137"/>
    </row>
    <row r="572">
      <c r="A572" s="137"/>
      <c r="B572" s="136"/>
      <c r="C572" s="136"/>
      <c r="D572" s="136"/>
      <c r="E572" s="137"/>
      <c r="F572" s="137"/>
      <c r="G572" s="137"/>
    </row>
    <row r="573">
      <c r="A573" s="137"/>
      <c r="B573" s="136"/>
      <c r="C573" s="136"/>
      <c r="D573" s="136"/>
      <c r="E573" s="137"/>
      <c r="F573" s="137"/>
      <c r="G573" s="137"/>
    </row>
    <row r="574">
      <c r="A574" s="137"/>
      <c r="B574" s="136"/>
      <c r="C574" s="136"/>
      <c r="D574" s="136"/>
      <c r="E574" s="137"/>
      <c r="F574" s="137"/>
      <c r="G574" s="137"/>
    </row>
    <row r="575">
      <c r="A575" s="137"/>
      <c r="B575" s="136"/>
      <c r="C575" s="136"/>
      <c r="D575" s="136"/>
      <c r="E575" s="137"/>
      <c r="F575" s="137"/>
      <c r="G575" s="137"/>
    </row>
    <row r="576">
      <c r="A576" s="137"/>
      <c r="B576" s="136"/>
      <c r="C576" s="136"/>
      <c r="D576" s="136"/>
      <c r="E576" s="137"/>
      <c r="F576" s="137"/>
      <c r="G576" s="137"/>
    </row>
    <row r="577">
      <c r="A577" s="137"/>
      <c r="B577" s="136"/>
      <c r="C577" s="136"/>
      <c r="D577" s="136"/>
      <c r="E577" s="137"/>
      <c r="F577" s="137"/>
      <c r="G577" s="137"/>
    </row>
    <row r="578">
      <c r="A578" s="137"/>
      <c r="B578" s="136"/>
      <c r="C578" s="136"/>
      <c r="D578" s="136"/>
      <c r="E578" s="137"/>
      <c r="F578" s="137"/>
      <c r="G578" s="137"/>
    </row>
    <row r="579">
      <c r="A579" s="137"/>
      <c r="B579" s="136"/>
      <c r="C579" s="136"/>
      <c r="D579" s="136"/>
      <c r="E579" s="137"/>
      <c r="F579" s="137"/>
      <c r="G579" s="137"/>
    </row>
    <row r="580">
      <c r="A580" s="137"/>
      <c r="B580" s="136"/>
      <c r="C580" s="136"/>
      <c r="D580" s="136"/>
      <c r="E580" s="137"/>
      <c r="F580" s="137"/>
      <c r="G580" s="137"/>
    </row>
    <row r="581">
      <c r="A581" s="137"/>
      <c r="B581" s="136"/>
      <c r="C581" s="136"/>
      <c r="D581" s="136"/>
      <c r="E581" s="137"/>
      <c r="F581" s="137"/>
      <c r="G581" s="137"/>
    </row>
    <row r="582">
      <c r="A582" s="137"/>
      <c r="B582" s="136"/>
      <c r="C582" s="136"/>
      <c r="D582" s="136"/>
      <c r="E582" s="137"/>
      <c r="F582" s="137"/>
      <c r="G582" s="137"/>
    </row>
    <row r="583">
      <c r="A583" s="137"/>
      <c r="B583" s="136"/>
      <c r="C583" s="136"/>
      <c r="D583" s="136"/>
      <c r="E583" s="137"/>
      <c r="F583" s="137"/>
      <c r="G583" s="137"/>
    </row>
    <row r="584">
      <c r="A584" s="137"/>
      <c r="B584" s="136"/>
      <c r="C584" s="136"/>
      <c r="D584" s="136"/>
      <c r="E584" s="137"/>
      <c r="F584" s="137"/>
      <c r="G584" s="137"/>
    </row>
    <row r="585">
      <c r="A585" s="137"/>
      <c r="B585" s="136"/>
      <c r="C585" s="136"/>
      <c r="D585" s="136"/>
      <c r="E585" s="137"/>
      <c r="F585" s="137"/>
      <c r="G585" s="137"/>
    </row>
    <row r="586">
      <c r="A586" s="137"/>
      <c r="B586" s="136"/>
      <c r="C586" s="136"/>
      <c r="D586" s="136"/>
      <c r="E586" s="137"/>
      <c r="F586" s="137"/>
      <c r="G586" s="137"/>
    </row>
    <row r="587">
      <c r="A587" s="137"/>
      <c r="B587" s="136"/>
      <c r="C587" s="136"/>
      <c r="D587" s="136"/>
      <c r="E587" s="137"/>
      <c r="F587" s="137"/>
      <c r="G587" s="137"/>
    </row>
    <row r="588">
      <c r="A588" s="137"/>
      <c r="B588" s="136"/>
      <c r="C588" s="136"/>
      <c r="D588" s="136"/>
      <c r="E588" s="137"/>
      <c r="F588" s="137"/>
      <c r="G588" s="137"/>
    </row>
    <row r="589">
      <c r="A589" s="137"/>
      <c r="B589" s="136"/>
      <c r="C589" s="136"/>
      <c r="D589" s="136"/>
      <c r="E589" s="137"/>
      <c r="F589" s="137"/>
      <c r="G589" s="137"/>
    </row>
    <row r="590">
      <c r="A590" s="137"/>
      <c r="B590" s="136"/>
      <c r="C590" s="136"/>
      <c r="D590" s="136"/>
      <c r="E590" s="137"/>
      <c r="F590" s="137"/>
      <c r="G590" s="137"/>
    </row>
    <row r="591">
      <c r="A591" s="137"/>
      <c r="B591" s="136"/>
      <c r="C591" s="136"/>
      <c r="D591" s="136"/>
      <c r="E591" s="137"/>
      <c r="F591" s="137"/>
      <c r="G591" s="137"/>
    </row>
    <row r="592">
      <c r="A592" s="137"/>
      <c r="B592" s="136"/>
      <c r="C592" s="136"/>
      <c r="D592" s="136"/>
      <c r="E592" s="137"/>
      <c r="F592" s="137"/>
      <c r="G592" s="137"/>
    </row>
    <row r="593">
      <c r="A593" s="137"/>
      <c r="B593" s="136"/>
      <c r="C593" s="136"/>
      <c r="D593" s="136"/>
      <c r="E593" s="137"/>
      <c r="F593" s="137"/>
      <c r="G593" s="137"/>
    </row>
    <row r="594">
      <c r="A594" s="137"/>
      <c r="B594" s="136"/>
      <c r="C594" s="136"/>
      <c r="D594" s="136"/>
      <c r="E594" s="137"/>
      <c r="F594" s="137"/>
      <c r="G594" s="137"/>
    </row>
    <row r="595">
      <c r="A595" s="137"/>
      <c r="B595" s="136"/>
      <c r="C595" s="136"/>
      <c r="D595" s="136"/>
      <c r="E595" s="137"/>
      <c r="F595" s="137"/>
      <c r="G595" s="137"/>
    </row>
    <row r="596">
      <c r="A596" s="137"/>
      <c r="B596" s="136"/>
      <c r="C596" s="136"/>
      <c r="D596" s="136"/>
      <c r="E596" s="137"/>
      <c r="F596" s="137"/>
      <c r="G596" s="137"/>
    </row>
    <row r="597">
      <c r="A597" s="137"/>
      <c r="B597" s="136"/>
      <c r="C597" s="136"/>
      <c r="D597" s="136"/>
      <c r="E597" s="137"/>
      <c r="F597" s="137"/>
      <c r="G597" s="137"/>
    </row>
    <row r="598">
      <c r="A598" s="137"/>
      <c r="B598" s="136"/>
      <c r="C598" s="136"/>
      <c r="D598" s="136"/>
      <c r="E598" s="137"/>
      <c r="F598" s="137"/>
      <c r="G598" s="137"/>
    </row>
    <row r="599">
      <c r="A599" s="137"/>
      <c r="B599" s="136"/>
      <c r="C599" s="136"/>
      <c r="D599" s="136"/>
      <c r="E599" s="137"/>
      <c r="F599" s="137"/>
      <c r="G599" s="137"/>
    </row>
    <row r="600">
      <c r="A600" s="137"/>
      <c r="B600" s="136"/>
      <c r="C600" s="136"/>
      <c r="D600" s="136"/>
      <c r="E600" s="137"/>
      <c r="F600" s="137"/>
      <c r="G600" s="137"/>
    </row>
    <row r="601">
      <c r="A601" s="137"/>
      <c r="B601" s="136"/>
      <c r="C601" s="136"/>
      <c r="D601" s="136"/>
      <c r="E601" s="137"/>
      <c r="F601" s="137"/>
      <c r="G601" s="137"/>
    </row>
    <row r="602">
      <c r="A602" s="137"/>
      <c r="B602" s="136"/>
      <c r="C602" s="136"/>
      <c r="D602" s="136"/>
      <c r="E602" s="137"/>
      <c r="F602" s="137"/>
      <c r="G602" s="137"/>
    </row>
    <row r="603">
      <c r="A603" s="137"/>
      <c r="B603" s="136"/>
      <c r="C603" s="136"/>
      <c r="D603" s="136"/>
      <c r="E603" s="137"/>
      <c r="F603" s="137"/>
      <c r="G603" s="137"/>
    </row>
    <row r="604">
      <c r="A604" s="137"/>
      <c r="B604" s="136"/>
      <c r="C604" s="136"/>
      <c r="D604" s="136"/>
      <c r="E604" s="137"/>
      <c r="F604" s="137"/>
      <c r="G604" s="137"/>
    </row>
    <row r="605">
      <c r="A605" s="137"/>
      <c r="B605" s="136"/>
      <c r="C605" s="136"/>
      <c r="D605" s="136"/>
      <c r="E605" s="137"/>
      <c r="F605" s="137"/>
      <c r="G605" s="137"/>
    </row>
    <row r="606">
      <c r="A606" s="137"/>
      <c r="B606" s="136"/>
      <c r="C606" s="136"/>
      <c r="D606" s="136"/>
      <c r="E606" s="137"/>
      <c r="F606" s="137"/>
      <c r="G606" s="137"/>
    </row>
    <row r="607">
      <c r="A607" s="137"/>
      <c r="B607" s="136"/>
      <c r="C607" s="136"/>
      <c r="D607" s="136"/>
      <c r="E607" s="137"/>
      <c r="F607" s="137"/>
      <c r="G607" s="137"/>
    </row>
    <row r="608">
      <c r="A608" s="137"/>
      <c r="B608" s="136"/>
      <c r="C608" s="136"/>
      <c r="D608" s="136"/>
      <c r="E608" s="137"/>
      <c r="F608" s="137"/>
      <c r="G608" s="137"/>
    </row>
    <row r="609">
      <c r="A609" s="137"/>
      <c r="B609" s="136"/>
      <c r="C609" s="136"/>
      <c r="D609" s="136"/>
      <c r="E609" s="137"/>
      <c r="F609" s="137"/>
      <c r="G609" s="137"/>
    </row>
    <row r="610">
      <c r="A610" s="137"/>
      <c r="B610" s="136"/>
      <c r="C610" s="136"/>
      <c r="D610" s="136"/>
      <c r="E610" s="137"/>
      <c r="F610" s="137"/>
      <c r="G610" s="137"/>
    </row>
    <row r="611">
      <c r="A611" s="137"/>
      <c r="B611" s="136"/>
      <c r="C611" s="136"/>
      <c r="D611" s="136"/>
      <c r="E611" s="137"/>
      <c r="F611" s="137"/>
      <c r="G611" s="137"/>
    </row>
    <row r="612">
      <c r="A612" s="137"/>
      <c r="B612" s="136"/>
      <c r="C612" s="136"/>
      <c r="D612" s="136"/>
      <c r="E612" s="137"/>
      <c r="F612" s="137"/>
      <c r="G612" s="137"/>
    </row>
    <row r="613">
      <c r="A613" s="137"/>
      <c r="B613" s="136"/>
      <c r="C613" s="136"/>
      <c r="D613" s="136"/>
      <c r="E613" s="137"/>
      <c r="F613" s="137"/>
      <c r="G613" s="137"/>
    </row>
    <row r="614">
      <c r="A614" s="137"/>
      <c r="B614" s="136"/>
      <c r="C614" s="136"/>
      <c r="D614" s="136"/>
      <c r="E614" s="137"/>
      <c r="F614" s="137"/>
      <c r="G614" s="137"/>
    </row>
    <row r="615">
      <c r="A615" s="137"/>
      <c r="B615" s="136"/>
      <c r="C615" s="136"/>
      <c r="D615" s="136"/>
      <c r="E615" s="137"/>
      <c r="F615" s="137"/>
      <c r="G615" s="137"/>
    </row>
    <row r="616">
      <c r="A616" s="137"/>
      <c r="B616" s="136"/>
      <c r="C616" s="136"/>
      <c r="D616" s="136"/>
      <c r="E616" s="137"/>
      <c r="F616" s="137"/>
      <c r="G616" s="137"/>
    </row>
    <row r="617">
      <c r="A617" s="137"/>
      <c r="B617" s="136"/>
      <c r="C617" s="136"/>
      <c r="D617" s="136"/>
      <c r="E617" s="137"/>
      <c r="F617" s="137"/>
      <c r="G617" s="137"/>
    </row>
    <row r="618">
      <c r="A618" s="137"/>
      <c r="B618" s="136"/>
      <c r="C618" s="136"/>
      <c r="D618" s="136"/>
      <c r="E618" s="137"/>
      <c r="F618" s="137"/>
      <c r="G618" s="137"/>
    </row>
    <row r="619">
      <c r="A619" s="137"/>
      <c r="B619" s="136"/>
      <c r="C619" s="136"/>
      <c r="D619" s="136"/>
      <c r="E619" s="137"/>
      <c r="F619" s="137"/>
      <c r="G619" s="137"/>
    </row>
    <row r="620">
      <c r="A620" s="137"/>
      <c r="B620" s="136"/>
      <c r="C620" s="136"/>
      <c r="D620" s="136"/>
      <c r="E620" s="137"/>
      <c r="F620" s="137"/>
      <c r="G620" s="137"/>
    </row>
    <row r="621">
      <c r="A621" s="137"/>
      <c r="B621" s="136"/>
      <c r="C621" s="136"/>
      <c r="D621" s="136"/>
      <c r="E621" s="137"/>
      <c r="F621" s="137"/>
      <c r="G621" s="137"/>
    </row>
    <row r="622">
      <c r="A622" s="137"/>
      <c r="B622" s="136"/>
      <c r="C622" s="136"/>
      <c r="D622" s="136"/>
      <c r="E622" s="137"/>
      <c r="F622" s="137"/>
      <c r="G622" s="137"/>
    </row>
    <row r="623">
      <c r="A623" s="137"/>
      <c r="B623" s="136"/>
      <c r="C623" s="136"/>
      <c r="D623" s="136"/>
      <c r="E623" s="137"/>
      <c r="F623" s="137"/>
      <c r="G623" s="137"/>
    </row>
    <row r="624">
      <c r="A624" s="137"/>
      <c r="B624" s="136"/>
      <c r="C624" s="136"/>
      <c r="D624" s="136"/>
      <c r="E624" s="137"/>
      <c r="F624" s="137"/>
      <c r="G624" s="137"/>
    </row>
    <row r="625">
      <c r="A625" s="137"/>
      <c r="B625" s="136"/>
      <c r="C625" s="136"/>
      <c r="D625" s="136"/>
      <c r="E625" s="137"/>
      <c r="F625" s="137"/>
      <c r="G625" s="137"/>
    </row>
    <row r="626">
      <c r="A626" s="137"/>
      <c r="B626" s="136"/>
      <c r="C626" s="136"/>
      <c r="D626" s="136"/>
      <c r="E626" s="137"/>
      <c r="F626" s="137"/>
      <c r="G626" s="137"/>
    </row>
    <row r="627">
      <c r="A627" s="137"/>
      <c r="B627" s="136"/>
      <c r="C627" s="136"/>
      <c r="D627" s="136"/>
      <c r="E627" s="137"/>
      <c r="F627" s="137"/>
      <c r="G627" s="137"/>
    </row>
    <row r="628">
      <c r="A628" s="137"/>
      <c r="B628" s="136"/>
      <c r="C628" s="136"/>
      <c r="D628" s="136"/>
      <c r="E628" s="137"/>
      <c r="F628" s="137"/>
      <c r="G628" s="137"/>
    </row>
    <row r="629">
      <c r="A629" s="137"/>
      <c r="B629" s="136"/>
      <c r="C629" s="136"/>
      <c r="D629" s="136"/>
      <c r="E629" s="137"/>
      <c r="F629" s="137"/>
      <c r="G629" s="137"/>
    </row>
    <row r="630">
      <c r="A630" s="137"/>
      <c r="B630" s="136"/>
      <c r="C630" s="136"/>
      <c r="D630" s="136"/>
      <c r="E630" s="137"/>
      <c r="F630" s="137"/>
      <c r="G630" s="137"/>
    </row>
    <row r="631">
      <c r="A631" s="137"/>
      <c r="B631" s="136"/>
      <c r="C631" s="136"/>
      <c r="D631" s="136"/>
      <c r="E631" s="137"/>
      <c r="F631" s="137"/>
      <c r="G631" s="137"/>
    </row>
    <row r="632">
      <c r="A632" s="137"/>
      <c r="B632" s="136"/>
      <c r="C632" s="136"/>
      <c r="D632" s="136"/>
      <c r="E632" s="137"/>
      <c r="F632" s="137"/>
      <c r="G632" s="137"/>
    </row>
    <row r="633">
      <c r="A633" s="137"/>
      <c r="B633" s="136"/>
      <c r="C633" s="136"/>
      <c r="D633" s="136"/>
      <c r="E633" s="137"/>
      <c r="F633" s="137"/>
      <c r="G633" s="137"/>
    </row>
    <row r="634">
      <c r="A634" s="137"/>
      <c r="B634" s="136"/>
      <c r="C634" s="136"/>
      <c r="D634" s="136"/>
      <c r="E634" s="137"/>
      <c r="F634" s="137"/>
      <c r="G634" s="137"/>
    </row>
    <row r="635">
      <c r="A635" s="137"/>
      <c r="B635" s="136"/>
      <c r="C635" s="136"/>
      <c r="D635" s="136"/>
      <c r="E635" s="137"/>
      <c r="F635" s="137"/>
      <c r="G635" s="137"/>
    </row>
    <row r="636">
      <c r="A636" s="137"/>
      <c r="B636" s="136"/>
      <c r="C636" s="136"/>
      <c r="D636" s="136"/>
      <c r="E636" s="137"/>
      <c r="F636" s="137"/>
      <c r="G636" s="137"/>
    </row>
    <row r="637">
      <c r="A637" s="137"/>
      <c r="B637" s="136"/>
      <c r="C637" s="136"/>
      <c r="D637" s="136"/>
      <c r="E637" s="137"/>
      <c r="F637" s="137"/>
      <c r="G637" s="137"/>
    </row>
    <row r="638">
      <c r="A638" s="137"/>
      <c r="B638" s="136"/>
      <c r="C638" s="136"/>
      <c r="D638" s="136"/>
      <c r="E638" s="137"/>
      <c r="F638" s="137"/>
      <c r="G638" s="137"/>
    </row>
    <row r="639">
      <c r="A639" s="137"/>
      <c r="B639" s="136"/>
      <c r="C639" s="136"/>
      <c r="D639" s="136"/>
      <c r="E639" s="137"/>
      <c r="F639" s="137"/>
      <c r="G639" s="137"/>
    </row>
    <row r="640">
      <c r="A640" s="137"/>
      <c r="B640" s="136"/>
      <c r="C640" s="136"/>
      <c r="D640" s="136"/>
      <c r="E640" s="137"/>
      <c r="F640" s="137"/>
      <c r="G640" s="137"/>
    </row>
    <row r="641">
      <c r="A641" s="137"/>
      <c r="B641" s="136"/>
      <c r="C641" s="136"/>
      <c r="D641" s="136"/>
      <c r="E641" s="137"/>
      <c r="F641" s="137"/>
      <c r="G641" s="137"/>
    </row>
    <row r="642">
      <c r="A642" s="137"/>
      <c r="B642" s="136"/>
      <c r="C642" s="136"/>
      <c r="D642" s="136"/>
      <c r="E642" s="137"/>
      <c r="F642" s="137"/>
      <c r="G642" s="137"/>
    </row>
    <row r="643">
      <c r="A643" s="137"/>
      <c r="B643" s="136"/>
      <c r="C643" s="136"/>
      <c r="D643" s="136"/>
      <c r="E643" s="137"/>
      <c r="F643" s="137"/>
      <c r="G643" s="137"/>
    </row>
    <row r="644">
      <c r="A644" s="137"/>
      <c r="B644" s="136"/>
      <c r="C644" s="136"/>
      <c r="D644" s="136"/>
      <c r="E644" s="137"/>
      <c r="F644" s="137"/>
      <c r="G644" s="137"/>
    </row>
    <row r="645">
      <c r="A645" s="137"/>
      <c r="B645" s="136"/>
      <c r="C645" s="136"/>
      <c r="D645" s="136"/>
      <c r="E645" s="137"/>
      <c r="F645" s="137"/>
      <c r="G645" s="137"/>
    </row>
    <row r="646">
      <c r="A646" s="137"/>
      <c r="B646" s="136"/>
      <c r="C646" s="136"/>
      <c r="D646" s="136"/>
      <c r="E646" s="137"/>
      <c r="F646" s="137"/>
      <c r="G646" s="137"/>
    </row>
    <row r="647">
      <c r="A647" s="137"/>
      <c r="B647" s="136"/>
      <c r="C647" s="136"/>
      <c r="D647" s="136"/>
      <c r="E647" s="137"/>
      <c r="F647" s="137"/>
      <c r="G647" s="137"/>
    </row>
    <row r="648">
      <c r="A648" s="137"/>
      <c r="B648" s="136"/>
      <c r="C648" s="136"/>
      <c r="D648" s="136"/>
      <c r="E648" s="137"/>
      <c r="F648" s="137"/>
      <c r="G648" s="137"/>
    </row>
    <row r="649">
      <c r="A649" s="137"/>
      <c r="B649" s="136"/>
      <c r="C649" s="136"/>
      <c r="D649" s="136"/>
      <c r="E649" s="137"/>
      <c r="F649" s="137"/>
      <c r="G649" s="137"/>
    </row>
    <row r="650">
      <c r="A650" s="137"/>
      <c r="B650" s="136"/>
      <c r="C650" s="136"/>
      <c r="D650" s="136"/>
      <c r="E650" s="137"/>
      <c r="F650" s="137"/>
      <c r="G650" s="137"/>
    </row>
    <row r="651">
      <c r="A651" s="137"/>
      <c r="B651" s="136"/>
      <c r="C651" s="136"/>
      <c r="D651" s="136"/>
      <c r="E651" s="137"/>
      <c r="F651" s="137"/>
      <c r="G651" s="137"/>
    </row>
    <row r="652">
      <c r="A652" s="137"/>
      <c r="B652" s="136"/>
      <c r="C652" s="136"/>
      <c r="D652" s="136"/>
      <c r="E652" s="137"/>
      <c r="F652" s="137"/>
      <c r="G652" s="137"/>
    </row>
    <row r="653">
      <c r="A653" s="137"/>
      <c r="B653" s="136"/>
      <c r="C653" s="136"/>
      <c r="D653" s="136"/>
      <c r="E653" s="137"/>
      <c r="F653" s="137"/>
      <c r="G653" s="137"/>
    </row>
    <row r="654">
      <c r="A654" s="137"/>
      <c r="B654" s="136"/>
      <c r="C654" s="136"/>
      <c r="D654" s="136"/>
      <c r="E654" s="137"/>
      <c r="F654" s="137"/>
      <c r="G654" s="137"/>
    </row>
    <row r="655">
      <c r="A655" s="137"/>
      <c r="B655" s="136"/>
      <c r="C655" s="136"/>
      <c r="D655" s="136"/>
      <c r="E655" s="137"/>
      <c r="F655" s="137"/>
      <c r="G655" s="137"/>
    </row>
    <row r="656">
      <c r="A656" s="137"/>
      <c r="B656" s="136"/>
      <c r="C656" s="136"/>
      <c r="D656" s="136"/>
      <c r="E656" s="137"/>
      <c r="F656" s="137"/>
      <c r="G656" s="137"/>
    </row>
    <row r="657">
      <c r="A657" s="137"/>
      <c r="B657" s="136"/>
      <c r="C657" s="136"/>
      <c r="D657" s="136"/>
      <c r="E657" s="137"/>
      <c r="F657" s="137"/>
      <c r="G657" s="137"/>
    </row>
    <row r="658">
      <c r="A658" s="137"/>
      <c r="B658" s="136"/>
      <c r="C658" s="136"/>
      <c r="D658" s="136"/>
      <c r="E658" s="137"/>
      <c r="F658" s="137"/>
      <c r="G658" s="137"/>
    </row>
    <row r="659">
      <c r="A659" s="137"/>
      <c r="B659" s="136"/>
      <c r="C659" s="136"/>
      <c r="D659" s="136"/>
      <c r="E659" s="137"/>
      <c r="F659" s="137"/>
      <c r="G659" s="137"/>
    </row>
    <row r="660">
      <c r="A660" s="137"/>
      <c r="B660" s="136"/>
      <c r="C660" s="136"/>
      <c r="D660" s="136"/>
      <c r="E660" s="137"/>
      <c r="F660" s="137"/>
      <c r="G660" s="137"/>
    </row>
    <row r="661">
      <c r="A661" s="137"/>
      <c r="B661" s="136"/>
      <c r="C661" s="136"/>
      <c r="D661" s="136"/>
      <c r="E661" s="137"/>
      <c r="F661" s="137"/>
      <c r="G661" s="137"/>
    </row>
    <row r="662">
      <c r="A662" s="137"/>
      <c r="B662" s="136"/>
      <c r="C662" s="136"/>
      <c r="D662" s="136"/>
      <c r="E662" s="137"/>
      <c r="F662" s="137"/>
      <c r="G662" s="137"/>
    </row>
    <row r="663">
      <c r="A663" s="137"/>
      <c r="B663" s="136"/>
      <c r="C663" s="136"/>
      <c r="D663" s="136"/>
      <c r="E663" s="137"/>
      <c r="F663" s="137"/>
      <c r="G663" s="137"/>
    </row>
    <row r="664">
      <c r="A664" s="137"/>
      <c r="B664" s="136"/>
      <c r="C664" s="136"/>
      <c r="D664" s="136"/>
      <c r="E664" s="137"/>
      <c r="F664" s="137"/>
      <c r="G664" s="137"/>
    </row>
    <row r="665">
      <c r="A665" s="137"/>
      <c r="B665" s="136"/>
      <c r="C665" s="136"/>
      <c r="D665" s="136"/>
      <c r="E665" s="137"/>
      <c r="F665" s="137"/>
      <c r="G665" s="137"/>
    </row>
    <row r="666">
      <c r="A666" s="137"/>
      <c r="B666" s="136"/>
      <c r="C666" s="136"/>
      <c r="D666" s="136"/>
      <c r="E666" s="137"/>
      <c r="F666" s="137"/>
      <c r="G666" s="137"/>
    </row>
    <row r="667">
      <c r="A667" s="137"/>
      <c r="B667" s="136"/>
      <c r="C667" s="136"/>
      <c r="D667" s="136"/>
      <c r="E667" s="137"/>
      <c r="F667" s="137"/>
      <c r="G667" s="137"/>
    </row>
    <row r="668">
      <c r="A668" s="137"/>
      <c r="B668" s="136"/>
      <c r="C668" s="136"/>
      <c r="D668" s="136"/>
      <c r="E668" s="137"/>
      <c r="F668" s="137"/>
      <c r="G668" s="137"/>
    </row>
    <row r="669">
      <c r="A669" s="137"/>
      <c r="B669" s="136"/>
      <c r="C669" s="136"/>
      <c r="D669" s="136"/>
      <c r="E669" s="137"/>
      <c r="F669" s="137"/>
      <c r="G669" s="137"/>
    </row>
    <row r="670">
      <c r="A670" s="137"/>
      <c r="B670" s="136"/>
      <c r="C670" s="136"/>
      <c r="D670" s="136"/>
      <c r="E670" s="137"/>
      <c r="F670" s="137"/>
      <c r="G670" s="137"/>
    </row>
    <row r="671">
      <c r="A671" s="137"/>
      <c r="B671" s="136"/>
      <c r="C671" s="136"/>
      <c r="D671" s="136"/>
      <c r="E671" s="137"/>
      <c r="F671" s="137"/>
      <c r="G671" s="137"/>
    </row>
    <row r="672">
      <c r="A672" s="137"/>
      <c r="B672" s="136"/>
      <c r="C672" s="136"/>
      <c r="D672" s="136"/>
      <c r="E672" s="137"/>
      <c r="F672" s="137"/>
      <c r="G672" s="137"/>
    </row>
    <row r="673">
      <c r="A673" s="137"/>
      <c r="B673" s="136"/>
      <c r="C673" s="136"/>
      <c r="D673" s="136"/>
      <c r="E673" s="137"/>
      <c r="F673" s="137"/>
      <c r="G673" s="137"/>
    </row>
    <row r="674">
      <c r="A674" s="137"/>
      <c r="B674" s="136"/>
      <c r="C674" s="136"/>
      <c r="D674" s="136"/>
      <c r="E674" s="137"/>
      <c r="F674" s="137"/>
      <c r="G674" s="137"/>
    </row>
    <row r="675">
      <c r="A675" s="137"/>
      <c r="B675" s="136"/>
      <c r="C675" s="136"/>
      <c r="D675" s="136"/>
      <c r="E675" s="137"/>
      <c r="F675" s="137"/>
      <c r="G675" s="137"/>
    </row>
    <row r="676">
      <c r="A676" s="137"/>
      <c r="B676" s="136"/>
      <c r="C676" s="136"/>
      <c r="D676" s="136"/>
      <c r="E676" s="137"/>
      <c r="F676" s="137"/>
      <c r="G676" s="137"/>
    </row>
    <row r="677">
      <c r="A677" s="137"/>
      <c r="B677" s="136"/>
      <c r="C677" s="136"/>
      <c r="D677" s="136"/>
      <c r="E677" s="137"/>
      <c r="F677" s="137"/>
      <c r="G677" s="137"/>
    </row>
    <row r="678">
      <c r="A678" s="137"/>
      <c r="B678" s="136"/>
      <c r="C678" s="136"/>
      <c r="D678" s="136"/>
      <c r="E678" s="137"/>
      <c r="F678" s="137"/>
      <c r="G678" s="137"/>
    </row>
    <row r="679">
      <c r="A679" s="137"/>
      <c r="B679" s="136"/>
      <c r="C679" s="136"/>
      <c r="D679" s="136"/>
      <c r="E679" s="137"/>
      <c r="F679" s="137"/>
      <c r="G679" s="137"/>
    </row>
    <row r="680">
      <c r="A680" s="137"/>
      <c r="B680" s="136"/>
      <c r="C680" s="136"/>
      <c r="D680" s="136"/>
      <c r="E680" s="137"/>
      <c r="F680" s="137"/>
      <c r="G680" s="137"/>
    </row>
    <row r="681">
      <c r="A681" s="137"/>
      <c r="B681" s="136"/>
      <c r="C681" s="136"/>
      <c r="D681" s="136"/>
      <c r="E681" s="137"/>
      <c r="F681" s="137"/>
      <c r="G681" s="137"/>
    </row>
    <row r="682">
      <c r="A682" s="137"/>
      <c r="B682" s="136"/>
      <c r="C682" s="136"/>
      <c r="D682" s="136"/>
      <c r="E682" s="137"/>
      <c r="F682" s="137"/>
      <c r="G682" s="137"/>
    </row>
    <row r="683">
      <c r="A683" s="137"/>
      <c r="B683" s="136"/>
      <c r="C683" s="136"/>
      <c r="D683" s="136"/>
      <c r="E683" s="137"/>
      <c r="F683" s="137"/>
      <c r="G683" s="137"/>
    </row>
    <row r="684">
      <c r="A684" s="137"/>
      <c r="B684" s="136"/>
      <c r="C684" s="136"/>
      <c r="D684" s="136"/>
      <c r="E684" s="137"/>
      <c r="F684" s="137"/>
      <c r="G684" s="137"/>
    </row>
    <row r="685">
      <c r="A685" s="137"/>
      <c r="B685" s="136"/>
      <c r="C685" s="136"/>
      <c r="D685" s="136"/>
      <c r="E685" s="137"/>
      <c r="F685" s="137"/>
      <c r="G685" s="137"/>
    </row>
    <row r="686">
      <c r="A686" s="137"/>
      <c r="B686" s="136"/>
      <c r="C686" s="136"/>
      <c r="D686" s="136"/>
      <c r="E686" s="137"/>
      <c r="F686" s="137"/>
      <c r="G686" s="137"/>
    </row>
    <row r="687">
      <c r="A687" s="137"/>
      <c r="B687" s="136"/>
      <c r="C687" s="136"/>
      <c r="D687" s="136"/>
      <c r="E687" s="137"/>
      <c r="F687" s="137"/>
      <c r="G687" s="137"/>
    </row>
    <row r="688">
      <c r="A688" s="137"/>
      <c r="B688" s="136"/>
      <c r="C688" s="136"/>
      <c r="D688" s="136"/>
      <c r="E688" s="137"/>
      <c r="F688" s="137"/>
      <c r="G688" s="137"/>
    </row>
    <row r="689">
      <c r="A689" s="137"/>
      <c r="B689" s="136"/>
      <c r="C689" s="136"/>
      <c r="D689" s="136"/>
      <c r="E689" s="137"/>
      <c r="F689" s="137"/>
      <c r="G689" s="137"/>
    </row>
    <row r="690">
      <c r="A690" s="137"/>
      <c r="B690" s="136"/>
      <c r="C690" s="136"/>
      <c r="D690" s="136"/>
      <c r="E690" s="137"/>
      <c r="F690" s="137"/>
      <c r="G690" s="137"/>
    </row>
    <row r="691">
      <c r="A691" s="137"/>
      <c r="B691" s="136"/>
      <c r="C691" s="136"/>
      <c r="D691" s="136"/>
      <c r="E691" s="137"/>
      <c r="F691" s="137"/>
      <c r="G691" s="137"/>
    </row>
    <row r="692">
      <c r="A692" s="137"/>
      <c r="B692" s="136"/>
      <c r="C692" s="136"/>
      <c r="D692" s="136"/>
      <c r="E692" s="137"/>
      <c r="F692" s="137"/>
      <c r="G692" s="137"/>
    </row>
    <row r="693">
      <c r="A693" s="137"/>
      <c r="B693" s="136"/>
      <c r="C693" s="136"/>
      <c r="D693" s="136"/>
      <c r="E693" s="137"/>
      <c r="F693" s="137"/>
      <c r="G693" s="137"/>
    </row>
    <row r="694">
      <c r="A694" s="137"/>
      <c r="B694" s="136"/>
      <c r="C694" s="136"/>
      <c r="D694" s="136"/>
      <c r="E694" s="137"/>
      <c r="F694" s="137"/>
      <c r="G694" s="137"/>
    </row>
    <row r="695">
      <c r="A695" s="137"/>
      <c r="B695" s="136"/>
      <c r="C695" s="136"/>
      <c r="D695" s="136"/>
      <c r="E695" s="137"/>
      <c r="F695" s="137"/>
      <c r="G695" s="137"/>
    </row>
    <row r="696">
      <c r="A696" s="137"/>
      <c r="B696" s="136"/>
      <c r="C696" s="136"/>
      <c r="D696" s="136"/>
      <c r="E696" s="137"/>
      <c r="F696" s="137"/>
      <c r="G696" s="137"/>
    </row>
    <row r="697">
      <c r="A697" s="137"/>
      <c r="B697" s="136"/>
      <c r="C697" s="136"/>
      <c r="D697" s="136"/>
      <c r="E697" s="137"/>
      <c r="F697" s="137"/>
      <c r="G697" s="137"/>
    </row>
    <row r="698">
      <c r="A698" s="137"/>
      <c r="B698" s="136"/>
      <c r="C698" s="136"/>
      <c r="D698" s="136"/>
      <c r="E698" s="137"/>
      <c r="F698" s="137"/>
      <c r="G698" s="137"/>
    </row>
    <row r="699">
      <c r="A699" s="137"/>
      <c r="B699" s="136"/>
      <c r="C699" s="136"/>
      <c r="D699" s="136"/>
      <c r="E699" s="137"/>
      <c r="F699" s="137"/>
      <c r="G699" s="137"/>
    </row>
    <row r="700">
      <c r="A700" s="137"/>
      <c r="B700" s="136"/>
      <c r="C700" s="136"/>
      <c r="D700" s="136"/>
      <c r="E700" s="137"/>
      <c r="F700" s="137"/>
      <c r="G700" s="137"/>
    </row>
    <row r="701">
      <c r="A701" s="137"/>
      <c r="B701" s="136"/>
      <c r="C701" s="136"/>
      <c r="D701" s="136"/>
      <c r="E701" s="137"/>
      <c r="F701" s="137"/>
      <c r="G701" s="137"/>
    </row>
    <row r="702">
      <c r="A702" s="137"/>
      <c r="B702" s="136"/>
      <c r="C702" s="136"/>
      <c r="D702" s="136"/>
      <c r="E702" s="137"/>
      <c r="F702" s="137"/>
      <c r="G702" s="137"/>
    </row>
    <row r="703">
      <c r="A703" s="137"/>
      <c r="B703" s="136"/>
      <c r="C703" s="136"/>
      <c r="D703" s="136"/>
      <c r="E703" s="137"/>
      <c r="F703" s="137"/>
      <c r="G703" s="137"/>
    </row>
    <row r="704">
      <c r="A704" s="137"/>
      <c r="B704" s="136"/>
      <c r="C704" s="136"/>
      <c r="D704" s="136"/>
      <c r="E704" s="137"/>
      <c r="F704" s="137"/>
      <c r="G704" s="137"/>
    </row>
    <row r="705">
      <c r="A705" s="137"/>
      <c r="B705" s="136"/>
      <c r="C705" s="136"/>
      <c r="D705" s="136"/>
      <c r="E705" s="137"/>
      <c r="F705" s="137"/>
      <c r="G705" s="137"/>
    </row>
    <row r="706">
      <c r="A706" s="137"/>
      <c r="B706" s="136"/>
      <c r="C706" s="136"/>
      <c r="D706" s="136"/>
      <c r="E706" s="137"/>
      <c r="F706" s="137"/>
      <c r="G706" s="137"/>
    </row>
    <row r="707">
      <c r="A707" s="137"/>
      <c r="B707" s="136"/>
      <c r="C707" s="136"/>
      <c r="D707" s="136"/>
      <c r="E707" s="137"/>
      <c r="F707" s="137"/>
      <c r="G707" s="137"/>
    </row>
    <row r="708">
      <c r="A708" s="137"/>
      <c r="B708" s="136"/>
      <c r="C708" s="136"/>
      <c r="D708" s="136"/>
      <c r="E708" s="137"/>
      <c r="F708" s="137"/>
      <c r="G708" s="137"/>
    </row>
    <row r="709">
      <c r="A709" s="137"/>
      <c r="B709" s="136"/>
      <c r="C709" s="136"/>
      <c r="D709" s="136"/>
      <c r="E709" s="137"/>
      <c r="F709" s="137"/>
      <c r="G709" s="137"/>
    </row>
    <row r="710">
      <c r="A710" s="137"/>
      <c r="B710" s="136"/>
      <c r="C710" s="136"/>
      <c r="D710" s="136"/>
      <c r="E710" s="137"/>
      <c r="F710" s="137"/>
      <c r="G710" s="137"/>
    </row>
    <row r="711">
      <c r="A711" s="137"/>
      <c r="B711" s="136"/>
      <c r="C711" s="136"/>
      <c r="D711" s="136"/>
      <c r="E711" s="137"/>
      <c r="F711" s="137"/>
      <c r="G711" s="137"/>
    </row>
    <row r="712">
      <c r="A712" s="137"/>
      <c r="B712" s="136"/>
      <c r="C712" s="136"/>
      <c r="D712" s="136"/>
      <c r="E712" s="137"/>
      <c r="F712" s="137"/>
      <c r="G712" s="137"/>
    </row>
    <row r="713">
      <c r="A713" s="137"/>
      <c r="B713" s="136"/>
      <c r="C713" s="136"/>
      <c r="D713" s="136"/>
      <c r="E713" s="137"/>
      <c r="F713" s="137"/>
      <c r="G713" s="137"/>
    </row>
    <row r="714">
      <c r="A714" s="137"/>
      <c r="B714" s="136"/>
      <c r="C714" s="136"/>
      <c r="D714" s="136"/>
      <c r="E714" s="137"/>
      <c r="F714" s="137"/>
      <c r="G714" s="137"/>
    </row>
    <row r="715">
      <c r="A715" s="137"/>
      <c r="B715" s="136"/>
      <c r="C715" s="136"/>
      <c r="D715" s="136"/>
      <c r="E715" s="137"/>
      <c r="F715" s="137"/>
      <c r="G715" s="137"/>
    </row>
    <row r="716">
      <c r="A716" s="137"/>
      <c r="B716" s="136"/>
      <c r="C716" s="136"/>
      <c r="D716" s="136"/>
      <c r="E716" s="137"/>
      <c r="F716" s="137"/>
      <c r="G716" s="137"/>
    </row>
    <row r="717">
      <c r="A717" s="137"/>
      <c r="B717" s="136"/>
      <c r="C717" s="136"/>
      <c r="D717" s="136"/>
      <c r="E717" s="137"/>
      <c r="F717" s="137"/>
      <c r="G717" s="137"/>
    </row>
    <row r="718">
      <c r="A718" s="137"/>
      <c r="B718" s="136"/>
      <c r="C718" s="136"/>
      <c r="D718" s="136"/>
      <c r="E718" s="137"/>
      <c r="F718" s="137"/>
      <c r="G718" s="137"/>
    </row>
    <row r="719">
      <c r="A719" s="137"/>
      <c r="B719" s="136"/>
      <c r="C719" s="136"/>
      <c r="D719" s="136"/>
      <c r="E719" s="137"/>
      <c r="F719" s="137"/>
      <c r="G719" s="137"/>
    </row>
    <row r="720">
      <c r="A720" s="137"/>
      <c r="B720" s="136"/>
      <c r="C720" s="136"/>
      <c r="D720" s="136"/>
      <c r="E720" s="137"/>
      <c r="F720" s="137"/>
      <c r="G720" s="137"/>
    </row>
    <row r="721">
      <c r="A721" s="137"/>
      <c r="B721" s="136"/>
      <c r="C721" s="136"/>
      <c r="D721" s="136"/>
      <c r="E721" s="137"/>
      <c r="F721" s="137"/>
      <c r="G721" s="137"/>
    </row>
    <row r="722">
      <c r="A722" s="137"/>
      <c r="B722" s="136"/>
      <c r="C722" s="136"/>
      <c r="D722" s="136"/>
      <c r="E722" s="137"/>
      <c r="F722" s="137"/>
      <c r="G722" s="137"/>
    </row>
    <row r="723">
      <c r="A723" s="137"/>
      <c r="B723" s="136"/>
      <c r="C723" s="136"/>
      <c r="D723" s="136"/>
      <c r="E723" s="137"/>
      <c r="F723" s="137"/>
      <c r="G723" s="137"/>
    </row>
    <row r="724">
      <c r="A724" s="137"/>
      <c r="B724" s="136"/>
      <c r="C724" s="136"/>
      <c r="D724" s="136"/>
      <c r="E724" s="137"/>
      <c r="F724" s="137"/>
      <c r="G724" s="137"/>
    </row>
    <row r="725">
      <c r="A725" s="137"/>
      <c r="B725" s="136"/>
      <c r="C725" s="136"/>
      <c r="D725" s="136"/>
      <c r="E725" s="137"/>
      <c r="F725" s="137"/>
      <c r="G725" s="137"/>
    </row>
    <row r="726">
      <c r="A726" s="137"/>
      <c r="B726" s="136"/>
      <c r="C726" s="136"/>
      <c r="D726" s="136"/>
      <c r="E726" s="137"/>
      <c r="F726" s="137"/>
      <c r="G726" s="137"/>
    </row>
    <row r="727">
      <c r="A727" s="137"/>
      <c r="B727" s="136"/>
      <c r="C727" s="136"/>
      <c r="D727" s="136"/>
      <c r="E727" s="137"/>
      <c r="F727" s="137"/>
      <c r="G727" s="137"/>
    </row>
    <row r="728">
      <c r="A728" s="137"/>
      <c r="B728" s="136"/>
      <c r="C728" s="136"/>
      <c r="D728" s="136"/>
      <c r="E728" s="137"/>
      <c r="F728" s="137"/>
      <c r="G728" s="137"/>
    </row>
    <row r="729">
      <c r="A729" s="137"/>
      <c r="B729" s="136"/>
      <c r="C729" s="136"/>
      <c r="D729" s="136"/>
      <c r="E729" s="137"/>
      <c r="F729" s="137"/>
      <c r="G729" s="137"/>
    </row>
    <row r="730">
      <c r="A730" s="137"/>
      <c r="B730" s="136"/>
      <c r="C730" s="136"/>
      <c r="D730" s="136"/>
      <c r="E730" s="137"/>
      <c r="F730" s="137"/>
      <c r="G730" s="137"/>
    </row>
    <row r="731">
      <c r="A731" s="137"/>
      <c r="B731" s="136"/>
      <c r="C731" s="136"/>
      <c r="D731" s="136"/>
      <c r="E731" s="137"/>
      <c r="F731" s="137"/>
      <c r="G731" s="137"/>
    </row>
    <row r="732">
      <c r="A732" s="137"/>
      <c r="B732" s="136"/>
      <c r="C732" s="136"/>
      <c r="D732" s="136"/>
      <c r="E732" s="137"/>
      <c r="F732" s="137"/>
      <c r="G732" s="137"/>
    </row>
    <row r="733">
      <c r="A733" s="137"/>
      <c r="B733" s="136"/>
      <c r="C733" s="136"/>
      <c r="D733" s="136"/>
      <c r="E733" s="137"/>
      <c r="F733" s="137"/>
      <c r="G733" s="137"/>
    </row>
    <row r="734">
      <c r="A734" s="137"/>
      <c r="B734" s="136"/>
      <c r="C734" s="136"/>
      <c r="D734" s="136"/>
      <c r="E734" s="137"/>
      <c r="F734" s="137"/>
      <c r="G734" s="137"/>
    </row>
    <row r="735">
      <c r="A735" s="137"/>
      <c r="B735" s="136"/>
      <c r="C735" s="136"/>
      <c r="D735" s="136"/>
      <c r="E735" s="137"/>
      <c r="F735" s="137"/>
      <c r="G735" s="137"/>
    </row>
    <row r="736">
      <c r="A736" s="137"/>
      <c r="B736" s="136"/>
      <c r="C736" s="136"/>
      <c r="D736" s="136"/>
      <c r="E736" s="137"/>
      <c r="F736" s="137"/>
      <c r="G736" s="137"/>
    </row>
    <row r="737">
      <c r="A737" s="137"/>
      <c r="B737" s="136"/>
      <c r="C737" s="136"/>
      <c r="D737" s="136"/>
      <c r="E737" s="137"/>
      <c r="F737" s="137"/>
      <c r="G737" s="137"/>
    </row>
    <row r="738">
      <c r="A738" s="137"/>
      <c r="B738" s="136"/>
      <c r="C738" s="136"/>
      <c r="D738" s="136"/>
      <c r="E738" s="137"/>
      <c r="F738" s="137"/>
      <c r="G738" s="137"/>
    </row>
    <row r="739">
      <c r="A739" s="137"/>
      <c r="B739" s="136"/>
      <c r="C739" s="136"/>
      <c r="D739" s="136"/>
      <c r="E739" s="137"/>
      <c r="F739" s="137"/>
      <c r="G739" s="137"/>
    </row>
    <row r="740">
      <c r="A740" s="137"/>
      <c r="B740" s="136"/>
      <c r="C740" s="136"/>
      <c r="D740" s="136"/>
      <c r="E740" s="137"/>
      <c r="F740" s="137"/>
      <c r="G740" s="137"/>
    </row>
    <row r="741">
      <c r="A741" s="137"/>
      <c r="B741" s="136"/>
      <c r="C741" s="136"/>
      <c r="D741" s="136"/>
      <c r="E741" s="137"/>
      <c r="F741" s="137"/>
      <c r="G741" s="137"/>
    </row>
    <row r="742">
      <c r="A742" s="137"/>
      <c r="B742" s="136"/>
      <c r="C742" s="136"/>
      <c r="D742" s="136"/>
      <c r="E742" s="137"/>
      <c r="F742" s="137"/>
      <c r="G742" s="137"/>
    </row>
    <row r="743">
      <c r="A743" s="137"/>
      <c r="B743" s="136"/>
      <c r="C743" s="136"/>
      <c r="D743" s="136"/>
      <c r="E743" s="137"/>
      <c r="F743" s="137"/>
      <c r="G743" s="137"/>
    </row>
    <row r="744">
      <c r="A744" s="137"/>
      <c r="B744" s="136"/>
      <c r="C744" s="136"/>
      <c r="D744" s="136"/>
      <c r="E744" s="137"/>
      <c r="F744" s="137"/>
      <c r="G744" s="137"/>
    </row>
    <row r="745">
      <c r="A745" s="137"/>
      <c r="B745" s="136"/>
      <c r="C745" s="136"/>
      <c r="D745" s="136"/>
      <c r="E745" s="137"/>
      <c r="F745" s="137"/>
      <c r="G745" s="137"/>
    </row>
    <row r="746">
      <c r="A746" s="137"/>
      <c r="B746" s="136"/>
      <c r="C746" s="136"/>
      <c r="D746" s="136"/>
      <c r="E746" s="137"/>
      <c r="F746" s="137"/>
      <c r="G746" s="137"/>
    </row>
    <row r="747">
      <c r="A747" s="137"/>
      <c r="B747" s="136"/>
      <c r="C747" s="136"/>
      <c r="D747" s="136"/>
      <c r="E747" s="137"/>
      <c r="F747" s="137"/>
      <c r="G747" s="137"/>
    </row>
    <row r="748">
      <c r="A748" s="137"/>
      <c r="B748" s="136"/>
      <c r="C748" s="136"/>
      <c r="D748" s="136"/>
      <c r="E748" s="137"/>
      <c r="F748" s="137"/>
      <c r="G748" s="137"/>
    </row>
    <row r="749">
      <c r="A749" s="137"/>
      <c r="B749" s="136"/>
      <c r="C749" s="136"/>
      <c r="D749" s="136"/>
      <c r="E749" s="137"/>
      <c r="F749" s="137"/>
      <c r="G749" s="137"/>
    </row>
    <row r="750">
      <c r="A750" s="137"/>
      <c r="B750" s="136"/>
      <c r="C750" s="136"/>
      <c r="D750" s="136"/>
      <c r="E750" s="137"/>
      <c r="F750" s="137"/>
      <c r="G750" s="137"/>
    </row>
    <row r="751">
      <c r="A751" s="137"/>
      <c r="B751" s="136"/>
      <c r="C751" s="136"/>
      <c r="D751" s="136"/>
      <c r="E751" s="137"/>
      <c r="F751" s="137"/>
      <c r="G751" s="137"/>
    </row>
    <row r="752">
      <c r="A752" s="137"/>
      <c r="B752" s="136"/>
      <c r="C752" s="136"/>
      <c r="D752" s="136"/>
      <c r="E752" s="137"/>
      <c r="F752" s="137"/>
      <c r="G752" s="137"/>
    </row>
    <row r="753">
      <c r="A753" s="137"/>
      <c r="B753" s="136"/>
      <c r="C753" s="136"/>
      <c r="D753" s="136"/>
      <c r="E753" s="137"/>
      <c r="F753" s="137"/>
      <c r="G753" s="137"/>
    </row>
    <row r="754">
      <c r="A754" s="137"/>
      <c r="B754" s="136"/>
      <c r="C754" s="136"/>
      <c r="D754" s="136"/>
      <c r="E754" s="137"/>
      <c r="F754" s="137"/>
      <c r="G754" s="137"/>
    </row>
    <row r="755">
      <c r="A755" s="137"/>
      <c r="B755" s="136"/>
      <c r="C755" s="136"/>
      <c r="D755" s="136"/>
      <c r="E755" s="137"/>
      <c r="F755" s="137"/>
      <c r="G755" s="137"/>
    </row>
    <row r="756">
      <c r="A756" s="137"/>
      <c r="B756" s="136"/>
      <c r="C756" s="136"/>
      <c r="D756" s="136"/>
      <c r="E756" s="137"/>
      <c r="F756" s="137"/>
      <c r="G756" s="137"/>
    </row>
    <row r="757">
      <c r="A757" s="137"/>
      <c r="B757" s="136"/>
      <c r="C757" s="136"/>
      <c r="D757" s="136"/>
      <c r="E757" s="137"/>
      <c r="F757" s="137"/>
      <c r="G757" s="137"/>
    </row>
    <row r="758">
      <c r="A758" s="137"/>
      <c r="B758" s="136"/>
      <c r="C758" s="136"/>
      <c r="D758" s="136"/>
      <c r="E758" s="137"/>
      <c r="F758" s="137"/>
      <c r="G758" s="137"/>
    </row>
    <row r="759">
      <c r="A759" s="137"/>
      <c r="B759" s="136"/>
      <c r="C759" s="136"/>
      <c r="D759" s="136"/>
      <c r="E759" s="137"/>
      <c r="F759" s="137"/>
      <c r="G759" s="137"/>
    </row>
    <row r="760">
      <c r="A760" s="137"/>
      <c r="B760" s="136"/>
      <c r="C760" s="136"/>
      <c r="D760" s="136"/>
      <c r="E760" s="137"/>
      <c r="F760" s="137"/>
      <c r="G760" s="137"/>
    </row>
    <row r="761">
      <c r="A761" s="137"/>
      <c r="B761" s="136"/>
      <c r="C761" s="136"/>
      <c r="D761" s="136"/>
      <c r="E761" s="137"/>
      <c r="F761" s="137"/>
      <c r="G761" s="137"/>
    </row>
    <row r="762">
      <c r="A762" s="137"/>
      <c r="B762" s="136"/>
      <c r="C762" s="136"/>
      <c r="D762" s="136"/>
      <c r="E762" s="137"/>
      <c r="F762" s="137"/>
      <c r="G762" s="137"/>
    </row>
    <row r="763">
      <c r="A763" s="137"/>
      <c r="B763" s="136"/>
      <c r="C763" s="136"/>
      <c r="D763" s="136"/>
      <c r="E763" s="137"/>
      <c r="F763" s="137"/>
      <c r="G763" s="137"/>
    </row>
    <row r="764">
      <c r="A764" s="137"/>
      <c r="B764" s="136"/>
      <c r="C764" s="136"/>
      <c r="D764" s="136"/>
      <c r="E764" s="137"/>
      <c r="F764" s="137"/>
      <c r="G764" s="137"/>
    </row>
    <row r="765">
      <c r="A765" s="137"/>
      <c r="B765" s="136"/>
      <c r="C765" s="136"/>
      <c r="D765" s="136"/>
      <c r="E765" s="137"/>
      <c r="F765" s="137"/>
      <c r="G765" s="137"/>
    </row>
    <row r="766">
      <c r="A766" s="137"/>
      <c r="B766" s="136"/>
      <c r="C766" s="136"/>
      <c r="D766" s="136"/>
      <c r="E766" s="137"/>
      <c r="F766" s="137"/>
      <c r="G766" s="137"/>
    </row>
    <row r="767">
      <c r="A767" s="137"/>
      <c r="B767" s="136"/>
      <c r="C767" s="136"/>
      <c r="D767" s="136"/>
      <c r="E767" s="137"/>
      <c r="F767" s="137"/>
      <c r="G767" s="137"/>
    </row>
    <row r="768">
      <c r="A768" s="137"/>
      <c r="B768" s="136"/>
      <c r="C768" s="136"/>
      <c r="D768" s="136"/>
      <c r="E768" s="137"/>
      <c r="F768" s="137"/>
      <c r="G768" s="137"/>
    </row>
    <row r="769">
      <c r="A769" s="137"/>
      <c r="B769" s="136"/>
      <c r="C769" s="136"/>
      <c r="D769" s="136"/>
      <c r="E769" s="137"/>
      <c r="F769" s="137"/>
      <c r="G769" s="137"/>
    </row>
    <row r="770">
      <c r="A770" s="137"/>
      <c r="B770" s="136"/>
      <c r="C770" s="136"/>
      <c r="D770" s="136"/>
      <c r="E770" s="137"/>
      <c r="F770" s="137"/>
      <c r="G770" s="137"/>
    </row>
    <row r="771">
      <c r="A771" s="137"/>
      <c r="B771" s="136"/>
      <c r="C771" s="136"/>
      <c r="D771" s="136"/>
      <c r="E771" s="137"/>
      <c r="F771" s="137"/>
      <c r="G771" s="137"/>
    </row>
    <row r="772">
      <c r="A772" s="137"/>
      <c r="B772" s="136"/>
      <c r="C772" s="136"/>
      <c r="D772" s="136"/>
      <c r="E772" s="137"/>
      <c r="F772" s="137"/>
      <c r="G772" s="137"/>
    </row>
    <row r="773">
      <c r="A773" s="137"/>
      <c r="B773" s="136"/>
      <c r="C773" s="136"/>
      <c r="D773" s="136"/>
      <c r="E773" s="137"/>
      <c r="F773" s="137"/>
      <c r="G773" s="137"/>
    </row>
    <row r="774">
      <c r="A774" s="137"/>
      <c r="B774" s="136"/>
      <c r="C774" s="136"/>
      <c r="D774" s="136"/>
      <c r="E774" s="137"/>
      <c r="F774" s="137"/>
      <c r="G774" s="137"/>
    </row>
    <row r="775">
      <c r="A775" s="137"/>
      <c r="B775" s="136"/>
      <c r="C775" s="136"/>
      <c r="D775" s="136"/>
      <c r="E775" s="137"/>
      <c r="F775" s="137"/>
      <c r="G775" s="137"/>
    </row>
    <row r="776">
      <c r="A776" s="137"/>
      <c r="B776" s="136"/>
      <c r="C776" s="136"/>
      <c r="D776" s="136"/>
      <c r="E776" s="137"/>
      <c r="F776" s="137"/>
      <c r="G776" s="137"/>
    </row>
    <row r="777">
      <c r="A777" s="137"/>
      <c r="B777" s="136"/>
      <c r="C777" s="136"/>
      <c r="D777" s="136"/>
      <c r="E777" s="137"/>
      <c r="F777" s="137"/>
      <c r="G777" s="137"/>
    </row>
    <row r="778">
      <c r="A778" s="137"/>
      <c r="B778" s="136"/>
      <c r="C778" s="136"/>
      <c r="D778" s="136"/>
      <c r="E778" s="137"/>
      <c r="F778" s="137"/>
      <c r="G778" s="137"/>
    </row>
    <row r="779">
      <c r="A779" s="137"/>
      <c r="B779" s="136"/>
      <c r="C779" s="136"/>
      <c r="D779" s="136"/>
      <c r="E779" s="137"/>
      <c r="F779" s="137"/>
      <c r="G779" s="137"/>
    </row>
    <row r="780">
      <c r="A780" s="137"/>
      <c r="B780" s="136"/>
      <c r="C780" s="136"/>
      <c r="D780" s="136"/>
      <c r="E780" s="137"/>
      <c r="F780" s="137"/>
      <c r="G780" s="137"/>
    </row>
    <row r="781">
      <c r="A781" s="137"/>
      <c r="B781" s="136"/>
      <c r="C781" s="136"/>
      <c r="D781" s="136"/>
      <c r="E781" s="137"/>
      <c r="F781" s="137"/>
      <c r="G781" s="137"/>
    </row>
    <row r="782">
      <c r="A782" s="137"/>
      <c r="B782" s="136"/>
      <c r="C782" s="136"/>
      <c r="D782" s="136"/>
      <c r="E782" s="137"/>
      <c r="F782" s="137"/>
      <c r="G782" s="137"/>
    </row>
    <row r="783">
      <c r="A783" s="137"/>
      <c r="B783" s="136"/>
      <c r="C783" s="136"/>
      <c r="D783" s="136"/>
      <c r="E783" s="137"/>
      <c r="F783" s="137"/>
      <c r="G783" s="137"/>
    </row>
    <row r="784">
      <c r="A784" s="137"/>
      <c r="B784" s="136"/>
      <c r="C784" s="136"/>
      <c r="D784" s="136"/>
      <c r="E784" s="137"/>
      <c r="F784" s="137"/>
      <c r="G784" s="137"/>
    </row>
    <row r="785">
      <c r="A785" s="137"/>
      <c r="B785" s="136"/>
      <c r="C785" s="136"/>
      <c r="D785" s="136"/>
      <c r="E785" s="137"/>
      <c r="F785" s="137"/>
      <c r="G785" s="137"/>
    </row>
    <row r="786">
      <c r="A786" s="137"/>
      <c r="B786" s="136"/>
      <c r="C786" s="136"/>
      <c r="D786" s="136"/>
      <c r="E786" s="137"/>
      <c r="F786" s="137"/>
      <c r="G786" s="137"/>
    </row>
    <row r="787">
      <c r="A787" s="137"/>
      <c r="B787" s="136"/>
      <c r="C787" s="136"/>
      <c r="D787" s="136"/>
      <c r="E787" s="137"/>
      <c r="F787" s="137"/>
      <c r="G787" s="137"/>
    </row>
    <row r="788">
      <c r="A788" s="137"/>
      <c r="B788" s="136"/>
      <c r="C788" s="136"/>
      <c r="D788" s="136"/>
      <c r="E788" s="137"/>
      <c r="F788" s="137"/>
      <c r="G788" s="137"/>
    </row>
    <row r="789">
      <c r="A789" s="137"/>
      <c r="B789" s="136"/>
      <c r="C789" s="136"/>
      <c r="D789" s="136"/>
      <c r="E789" s="137"/>
      <c r="F789" s="137"/>
      <c r="G789" s="137"/>
    </row>
    <row r="790">
      <c r="A790" s="137"/>
      <c r="B790" s="136"/>
      <c r="C790" s="136"/>
      <c r="D790" s="136"/>
      <c r="E790" s="137"/>
      <c r="F790" s="137"/>
      <c r="G790" s="137"/>
    </row>
    <row r="791">
      <c r="A791" s="137"/>
      <c r="B791" s="136"/>
      <c r="C791" s="136"/>
      <c r="D791" s="136"/>
      <c r="E791" s="137"/>
      <c r="F791" s="137"/>
      <c r="G791" s="137"/>
    </row>
    <row r="792">
      <c r="A792" s="137"/>
      <c r="B792" s="136"/>
      <c r="C792" s="136"/>
      <c r="D792" s="136"/>
      <c r="E792" s="137"/>
      <c r="F792" s="137"/>
      <c r="G792" s="137"/>
    </row>
    <row r="793">
      <c r="A793" s="137"/>
      <c r="B793" s="136"/>
      <c r="C793" s="136"/>
      <c r="D793" s="136"/>
      <c r="E793" s="137"/>
      <c r="F793" s="137"/>
      <c r="G793" s="137"/>
    </row>
    <row r="794">
      <c r="A794" s="137"/>
      <c r="B794" s="136"/>
      <c r="C794" s="136"/>
      <c r="D794" s="136"/>
      <c r="E794" s="137"/>
      <c r="F794" s="137"/>
      <c r="G794" s="137"/>
    </row>
    <row r="795">
      <c r="A795" s="137"/>
      <c r="B795" s="136"/>
      <c r="C795" s="136"/>
      <c r="D795" s="136"/>
      <c r="E795" s="137"/>
      <c r="F795" s="137"/>
      <c r="G795" s="137"/>
    </row>
    <row r="796">
      <c r="A796" s="137"/>
      <c r="B796" s="136"/>
      <c r="C796" s="136"/>
      <c r="D796" s="136"/>
      <c r="E796" s="137"/>
      <c r="F796" s="137"/>
      <c r="G796" s="137"/>
    </row>
    <row r="797">
      <c r="A797" s="137"/>
      <c r="B797" s="136"/>
      <c r="C797" s="136"/>
      <c r="D797" s="136"/>
      <c r="E797" s="137"/>
      <c r="F797" s="137"/>
      <c r="G797" s="137"/>
    </row>
    <row r="798">
      <c r="A798" s="137"/>
      <c r="B798" s="136"/>
      <c r="C798" s="136"/>
      <c r="D798" s="136"/>
      <c r="E798" s="137"/>
      <c r="F798" s="137"/>
      <c r="G798" s="137"/>
    </row>
    <row r="799">
      <c r="A799" s="137"/>
      <c r="B799" s="136"/>
      <c r="C799" s="136"/>
      <c r="D799" s="136"/>
      <c r="E799" s="137"/>
      <c r="F799" s="137"/>
      <c r="G799" s="137"/>
    </row>
    <row r="800">
      <c r="A800" s="137"/>
      <c r="B800" s="136"/>
      <c r="C800" s="136"/>
      <c r="D800" s="136"/>
      <c r="E800" s="137"/>
      <c r="F800" s="137"/>
      <c r="G800" s="137"/>
    </row>
    <row r="801">
      <c r="A801" s="137"/>
      <c r="B801" s="136"/>
      <c r="C801" s="136"/>
      <c r="D801" s="136"/>
      <c r="E801" s="137"/>
      <c r="F801" s="137"/>
      <c r="G801" s="137"/>
    </row>
    <row r="802">
      <c r="A802" s="137"/>
      <c r="B802" s="136"/>
      <c r="C802" s="136"/>
      <c r="D802" s="136"/>
      <c r="E802" s="137"/>
      <c r="F802" s="137"/>
      <c r="G802" s="137"/>
    </row>
    <row r="803">
      <c r="A803" s="137"/>
      <c r="B803" s="136"/>
      <c r="C803" s="136"/>
      <c r="D803" s="136"/>
      <c r="E803" s="137"/>
      <c r="F803" s="137"/>
      <c r="G803" s="137"/>
    </row>
    <row r="804">
      <c r="A804" s="137"/>
      <c r="B804" s="136"/>
      <c r="C804" s="136"/>
      <c r="D804" s="136"/>
      <c r="E804" s="137"/>
      <c r="F804" s="137"/>
      <c r="G804" s="137"/>
    </row>
    <row r="805">
      <c r="A805" s="137"/>
      <c r="B805" s="136"/>
      <c r="C805" s="136"/>
      <c r="D805" s="136"/>
      <c r="E805" s="137"/>
      <c r="F805" s="137"/>
      <c r="G805" s="137"/>
    </row>
    <row r="806">
      <c r="A806" s="137"/>
      <c r="B806" s="136"/>
      <c r="C806" s="136"/>
      <c r="D806" s="136"/>
      <c r="E806" s="137"/>
      <c r="F806" s="137"/>
      <c r="G806" s="137"/>
    </row>
    <row r="807">
      <c r="A807" s="137"/>
      <c r="B807" s="136"/>
      <c r="C807" s="136"/>
      <c r="D807" s="136"/>
      <c r="E807" s="137"/>
      <c r="F807" s="137"/>
      <c r="G807" s="137"/>
    </row>
    <row r="808">
      <c r="A808" s="137"/>
      <c r="B808" s="136"/>
      <c r="C808" s="136"/>
      <c r="D808" s="136"/>
      <c r="E808" s="137"/>
      <c r="F808" s="137"/>
      <c r="G808" s="137"/>
    </row>
    <row r="809">
      <c r="A809" s="137"/>
      <c r="B809" s="136"/>
      <c r="C809" s="136"/>
      <c r="D809" s="136"/>
      <c r="E809" s="137"/>
      <c r="F809" s="137"/>
      <c r="G809" s="137"/>
    </row>
    <row r="810">
      <c r="A810" s="137"/>
      <c r="B810" s="136"/>
      <c r="C810" s="136"/>
      <c r="D810" s="136"/>
      <c r="E810" s="137"/>
      <c r="F810" s="137"/>
      <c r="G810" s="137"/>
    </row>
    <row r="811">
      <c r="A811" s="137"/>
      <c r="B811" s="136"/>
      <c r="C811" s="136"/>
      <c r="D811" s="136"/>
      <c r="E811" s="137"/>
      <c r="F811" s="137"/>
      <c r="G811" s="137"/>
    </row>
    <row r="812">
      <c r="A812" s="137"/>
      <c r="B812" s="136"/>
      <c r="C812" s="136"/>
      <c r="D812" s="136"/>
      <c r="E812" s="137"/>
      <c r="F812" s="137"/>
      <c r="G812" s="137"/>
    </row>
    <row r="813">
      <c r="A813" s="137"/>
      <c r="B813" s="136"/>
      <c r="C813" s="136"/>
      <c r="D813" s="136"/>
      <c r="E813" s="137"/>
      <c r="F813" s="137"/>
      <c r="G813" s="137"/>
    </row>
    <row r="814">
      <c r="A814" s="137"/>
      <c r="B814" s="136"/>
      <c r="C814" s="136"/>
      <c r="D814" s="136"/>
      <c r="E814" s="137"/>
      <c r="F814" s="137"/>
      <c r="G814" s="137"/>
    </row>
    <row r="815">
      <c r="A815" s="137"/>
      <c r="B815" s="136"/>
      <c r="C815" s="136"/>
      <c r="D815" s="136"/>
      <c r="E815" s="137"/>
      <c r="F815" s="137"/>
      <c r="G815" s="137"/>
    </row>
    <row r="816">
      <c r="A816" s="137"/>
      <c r="B816" s="136"/>
      <c r="C816" s="136"/>
      <c r="D816" s="136"/>
      <c r="E816" s="137"/>
      <c r="F816" s="137"/>
      <c r="G816" s="137"/>
    </row>
    <row r="817">
      <c r="A817" s="137"/>
      <c r="B817" s="136"/>
      <c r="C817" s="136"/>
      <c r="D817" s="136"/>
      <c r="E817" s="137"/>
      <c r="F817" s="137"/>
      <c r="G817" s="137"/>
    </row>
    <row r="818">
      <c r="A818" s="137"/>
      <c r="B818" s="136"/>
      <c r="C818" s="136"/>
      <c r="D818" s="136"/>
      <c r="E818" s="137"/>
      <c r="F818" s="137"/>
      <c r="G818" s="137"/>
    </row>
    <row r="819">
      <c r="A819" s="137"/>
      <c r="B819" s="136"/>
      <c r="C819" s="136"/>
      <c r="D819" s="136"/>
      <c r="E819" s="137"/>
      <c r="F819" s="137"/>
      <c r="G819" s="137"/>
    </row>
    <row r="820">
      <c r="A820" s="137"/>
      <c r="B820" s="136"/>
      <c r="C820" s="136"/>
      <c r="D820" s="136"/>
      <c r="E820" s="137"/>
      <c r="F820" s="137"/>
      <c r="G820" s="137"/>
    </row>
    <row r="821">
      <c r="A821" s="137"/>
      <c r="B821" s="136"/>
      <c r="C821" s="136"/>
      <c r="D821" s="136"/>
      <c r="E821" s="137"/>
      <c r="F821" s="137"/>
      <c r="G821" s="137"/>
    </row>
    <row r="822">
      <c r="A822" s="137"/>
      <c r="B822" s="136"/>
      <c r="C822" s="136"/>
      <c r="D822" s="136"/>
      <c r="E822" s="137"/>
      <c r="F822" s="137"/>
      <c r="G822" s="137"/>
    </row>
    <row r="823">
      <c r="A823" s="137"/>
      <c r="B823" s="136"/>
      <c r="C823" s="136"/>
      <c r="D823" s="136"/>
      <c r="E823" s="137"/>
      <c r="F823" s="137"/>
      <c r="G823" s="137"/>
    </row>
    <row r="824">
      <c r="A824" s="137"/>
      <c r="B824" s="136"/>
      <c r="C824" s="136"/>
      <c r="D824" s="136"/>
      <c r="E824" s="137"/>
      <c r="F824" s="137"/>
      <c r="G824" s="137"/>
    </row>
    <row r="825">
      <c r="A825" s="137"/>
      <c r="B825" s="136"/>
      <c r="C825" s="136"/>
      <c r="D825" s="136"/>
      <c r="E825" s="137"/>
      <c r="F825" s="137"/>
      <c r="G825" s="137"/>
    </row>
    <row r="826">
      <c r="A826" s="137"/>
      <c r="B826" s="136"/>
      <c r="C826" s="136"/>
      <c r="D826" s="136"/>
      <c r="E826" s="137"/>
      <c r="F826" s="137"/>
      <c r="G826" s="137"/>
    </row>
    <row r="827">
      <c r="A827" s="137"/>
      <c r="B827" s="136"/>
      <c r="C827" s="136"/>
      <c r="D827" s="136"/>
      <c r="E827" s="137"/>
      <c r="F827" s="137"/>
      <c r="G827" s="137"/>
    </row>
    <row r="828">
      <c r="A828" s="137"/>
      <c r="B828" s="136"/>
      <c r="C828" s="136"/>
      <c r="D828" s="136"/>
      <c r="E828" s="137"/>
      <c r="F828" s="137"/>
      <c r="G828" s="137"/>
    </row>
    <row r="829">
      <c r="A829" s="137"/>
      <c r="B829" s="136"/>
      <c r="C829" s="136"/>
      <c r="D829" s="136"/>
      <c r="E829" s="137"/>
      <c r="F829" s="137"/>
      <c r="G829" s="137"/>
    </row>
    <row r="830">
      <c r="A830" s="137"/>
      <c r="B830" s="136"/>
      <c r="C830" s="136"/>
      <c r="D830" s="136"/>
      <c r="E830" s="137"/>
      <c r="F830" s="137"/>
      <c r="G830" s="137"/>
    </row>
    <row r="831">
      <c r="A831" s="137"/>
      <c r="B831" s="136"/>
      <c r="C831" s="136"/>
      <c r="D831" s="136"/>
      <c r="E831" s="137"/>
      <c r="F831" s="137"/>
      <c r="G831" s="137"/>
    </row>
    <row r="832">
      <c r="A832" s="137"/>
      <c r="B832" s="136"/>
      <c r="C832" s="136"/>
      <c r="D832" s="136"/>
      <c r="E832" s="137"/>
      <c r="F832" s="137"/>
      <c r="G832" s="137"/>
    </row>
    <row r="833">
      <c r="A833" s="137"/>
      <c r="B833" s="136"/>
      <c r="C833" s="136"/>
      <c r="D833" s="136"/>
      <c r="E833" s="137"/>
      <c r="F833" s="137"/>
      <c r="G833" s="137"/>
    </row>
    <row r="834">
      <c r="A834" s="137"/>
      <c r="B834" s="136"/>
      <c r="C834" s="136"/>
      <c r="D834" s="136"/>
      <c r="E834" s="137"/>
      <c r="F834" s="137"/>
      <c r="G834" s="137"/>
    </row>
    <row r="835">
      <c r="A835" s="137"/>
      <c r="B835" s="136"/>
      <c r="C835" s="136"/>
      <c r="D835" s="136"/>
      <c r="E835" s="137"/>
      <c r="F835" s="137"/>
      <c r="G835" s="137"/>
    </row>
    <row r="836">
      <c r="A836" s="137"/>
      <c r="B836" s="136"/>
      <c r="C836" s="136"/>
      <c r="D836" s="136"/>
      <c r="E836" s="137"/>
      <c r="F836" s="137"/>
      <c r="G836" s="137"/>
    </row>
    <row r="837">
      <c r="A837" s="137"/>
      <c r="B837" s="136"/>
      <c r="C837" s="136"/>
      <c r="D837" s="136"/>
      <c r="E837" s="137"/>
      <c r="F837" s="137"/>
      <c r="G837" s="137"/>
    </row>
    <row r="838">
      <c r="A838" s="137"/>
      <c r="B838" s="136"/>
      <c r="C838" s="136"/>
      <c r="D838" s="136"/>
      <c r="E838" s="137"/>
      <c r="F838" s="137"/>
      <c r="G838" s="137"/>
    </row>
    <row r="839">
      <c r="A839" s="137"/>
      <c r="B839" s="136"/>
      <c r="C839" s="136"/>
      <c r="D839" s="136"/>
      <c r="E839" s="137"/>
      <c r="F839" s="137"/>
      <c r="G839" s="137"/>
    </row>
    <row r="840">
      <c r="A840" s="137"/>
      <c r="B840" s="136"/>
      <c r="C840" s="136"/>
      <c r="D840" s="136"/>
      <c r="E840" s="137"/>
      <c r="F840" s="137"/>
      <c r="G840" s="137"/>
    </row>
    <row r="841">
      <c r="A841" s="137"/>
      <c r="B841" s="136"/>
      <c r="C841" s="136"/>
      <c r="D841" s="136"/>
      <c r="E841" s="137"/>
      <c r="F841" s="137"/>
      <c r="G841" s="137"/>
    </row>
    <row r="842">
      <c r="A842" s="137"/>
      <c r="B842" s="136"/>
      <c r="C842" s="136"/>
      <c r="D842" s="136"/>
      <c r="E842" s="137"/>
      <c r="F842" s="137"/>
      <c r="G842" s="137"/>
    </row>
    <row r="843">
      <c r="A843" s="137"/>
      <c r="B843" s="136"/>
      <c r="C843" s="136"/>
      <c r="D843" s="136"/>
      <c r="E843" s="137"/>
      <c r="F843" s="137"/>
      <c r="G843" s="137"/>
    </row>
    <row r="844">
      <c r="A844" s="137"/>
      <c r="B844" s="136"/>
      <c r="C844" s="136"/>
      <c r="D844" s="136"/>
      <c r="E844" s="137"/>
      <c r="F844" s="137"/>
      <c r="G844" s="137"/>
    </row>
    <row r="845">
      <c r="A845" s="137"/>
      <c r="B845" s="136"/>
      <c r="C845" s="136"/>
      <c r="D845" s="136"/>
      <c r="E845" s="137"/>
      <c r="F845" s="137"/>
      <c r="G845" s="137"/>
    </row>
    <row r="846">
      <c r="A846" s="137"/>
      <c r="B846" s="136"/>
      <c r="C846" s="136"/>
      <c r="D846" s="136"/>
      <c r="E846" s="137"/>
      <c r="F846" s="137"/>
      <c r="G846" s="137"/>
    </row>
    <row r="847">
      <c r="A847" s="137"/>
      <c r="B847" s="136"/>
      <c r="C847" s="136"/>
      <c r="D847" s="136"/>
      <c r="E847" s="137"/>
      <c r="F847" s="137"/>
      <c r="G847" s="137"/>
    </row>
    <row r="848">
      <c r="A848" s="137"/>
      <c r="B848" s="136"/>
      <c r="C848" s="136"/>
      <c r="D848" s="136"/>
      <c r="E848" s="137"/>
      <c r="F848" s="137"/>
      <c r="G848" s="137"/>
    </row>
    <row r="849">
      <c r="A849" s="137"/>
      <c r="B849" s="136"/>
      <c r="C849" s="136"/>
      <c r="D849" s="136"/>
      <c r="E849" s="137"/>
      <c r="F849" s="137"/>
      <c r="G849" s="137"/>
    </row>
    <row r="850">
      <c r="A850" s="137"/>
      <c r="B850" s="136"/>
      <c r="C850" s="136"/>
      <c r="D850" s="136"/>
      <c r="E850" s="137"/>
      <c r="F850" s="137"/>
      <c r="G850" s="137"/>
    </row>
    <row r="851">
      <c r="A851" s="137"/>
      <c r="B851" s="136"/>
      <c r="C851" s="136"/>
      <c r="D851" s="136"/>
      <c r="E851" s="137"/>
      <c r="F851" s="137"/>
      <c r="G851" s="137"/>
    </row>
    <row r="852">
      <c r="A852" s="137"/>
      <c r="B852" s="136"/>
      <c r="C852" s="136"/>
      <c r="D852" s="136"/>
      <c r="E852" s="137"/>
      <c r="F852" s="137"/>
      <c r="G852" s="137"/>
    </row>
    <row r="853">
      <c r="A853" s="137"/>
      <c r="B853" s="136"/>
      <c r="C853" s="136"/>
      <c r="D853" s="136"/>
      <c r="E853" s="137"/>
      <c r="F853" s="137"/>
      <c r="G853" s="137"/>
    </row>
    <row r="854">
      <c r="A854" s="137"/>
      <c r="B854" s="136"/>
      <c r="C854" s="136"/>
      <c r="D854" s="136"/>
      <c r="E854" s="137"/>
      <c r="F854" s="137"/>
      <c r="G854" s="137"/>
    </row>
    <row r="855">
      <c r="A855" s="137"/>
      <c r="B855" s="136"/>
      <c r="C855" s="136"/>
      <c r="D855" s="136"/>
      <c r="E855" s="137"/>
      <c r="F855" s="137"/>
      <c r="G855" s="137"/>
    </row>
    <row r="856">
      <c r="A856" s="137"/>
      <c r="B856" s="136"/>
      <c r="C856" s="136"/>
      <c r="D856" s="136"/>
      <c r="E856" s="137"/>
      <c r="F856" s="137"/>
      <c r="G856" s="137"/>
    </row>
    <row r="857">
      <c r="A857" s="137"/>
      <c r="B857" s="136"/>
      <c r="C857" s="136"/>
      <c r="D857" s="136"/>
      <c r="E857" s="137"/>
      <c r="F857" s="137"/>
      <c r="G857" s="137"/>
    </row>
    <row r="858">
      <c r="A858" s="137"/>
      <c r="B858" s="136"/>
      <c r="C858" s="136"/>
      <c r="D858" s="136"/>
      <c r="E858" s="137"/>
      <c r="F858" s="137"/>
      <c r="G858" s="137"/>
    </row>
    <row r="859">
      <c r="A859" s="137"/>
      <c r="B859" s="136"/>
      <c r="C859" s="136"/>
      <c r="D859" s="136"/>
      <c r="E859" s="137"/>
      <c r="F859" s="137"/>
      <c r="G859" s="137"/>
    </row>
    <row r="860">
      <c r="A860" s="137"/>
      <c r="B860" s="136"/>
      <c r="C860" s="136"/>
      <c r="D860" s="136"/>
      <c r="E860" s="137"/>
      <c r="F860" s="137"/>
      <c r="G860" s="137"/>
    </row>
    <row r="861">
      <c r="A861" s="137"/>
      <c r="B861" s="136"/>
      <c r="C861" s="136"/>
      <c r="D861" s="136"/>
      <c r="E861" s="137"/>
      <c r="F861" s="137"/>
      <c r="G861" s="137"/>
    </row>
    <row r="862">
      <c r="A862" s="137"/>
      <c r="B862" s="136"/>
      <c r="C862" s="136"/>
      <c r="D862" s="136"/>
      <c r="E862" s="137"/>
      <c r="F862" s="137"/>
      <c r="G862" s="137"/>
    </row>
    <row r="863">
      <c r="A863" s="137"/>
      <c r="B863" s="136"/>
      <c r="C863" s="136"/>
      <c r="D863" s="136"/>
      <c r="E863" s="137"/>
      <c r="F863" s="137"/>
      <c r="G863" s="137"/>
    </row>
    <row r="864">
      <c r="A864" s="137"/>
      <c r="B864" s="136"/>
      <c r="C864" s="136"/>
      <c r="D864" s="136"/>
      <c r="E864" s="137"/>
      <c r="F864" s="137"/>
      <c r="G864" s="137"/>
    </row>
    <row r="865">
      <c r="A865" s="137"/>
      <c r="B865" s="136"/>
      <c r="C865" s="136"/>
      <c r="D865" s="136"/>
      <c r="E865" s="137"/>
      <c r="F865" s="137"/>
      <c r="G865" s="137"/>
    </row>
    <row r="866">
      <c r="A866" s="137"/>
      <c r="B866" s="136"/>
      <c r="C866" s="136"/>
      <c r="D866" s="136"/>
      <c r="E866" s="137"/>
      <c r="F866" s="137"/>
      <c r="G866" s="137"/>
    </row>
    <row r="867">
      <c r="A867" s="137"/>
      <c r="B867" s="136"/>
      <c r="C867" s="136"/>
      <c r="D867" s="136"/>
      <c r="E867" s="137"/>
      <c r="F867" s="137"/>
      <c r="G867" s="137"/>
    </row>
    <row r="868">
      <c r="A868" s="137"/>
      <c r="B868" s="136"/>
      <c r="C868" s="136"/>
      <c r="D868" s="136"/>
      <c r="E868" s="137"/>
      <c r="F868" s="137"/>
      <c r="G868" s="137"/>
    </row>
    <row r="869">
      <c r="A869" s="137"/>
      <c r="B869" s="136"/>
      <c r="C869" s="136"/>
      <c r="D869" s="136"/>
      <c r="E869" s="137"/>
      <c r="F869" s="137"/>
      <c r="G869" s="137"/>
    </row>
    <row r="870">
      <c r="A870" s="137"/>
      <c r="B870" s="136"/>
      <c r="C870" s="136"/>
      <c r="D870" s="136"/>
      <c r="E870" s="137"/>
      <c r="F870" s="137"/>
      <c r="G870" s="137"/>
    </row>
    <row r="871">
      <c r="A871" s="137"/>
      <c r="B871" s="136"/>
      <c r="C871" s="136"/>
      <c r="D871" s="136"/>
      <c r="E871" s="137"/>
      <c r="F871" s="137"/>
      <c r="G871" s="137"/>
    </row>
    <row r="872">
      <c r="A872" s="137"/>
      <c r="B872" s="136"/>
      <c r="C872" s="136"/>
      <c r="D872" s="136"/>
      <c r="E872" s="137"/>
      <c r="F872" s="137"/>
      <c r="G872" s="137"/>
    </row>
    <row r="873">
      <c r="A873" s="137"/>
      <c r="B873" s="136"/>
      <c r="C873" s="136"/>
      <c r="D873" s="136"/>
      <c r="E873" s="137"/>
      <c r="F873" s="137"/>
      <c r="G873" s="137"/>
    </row>
    <row r="874">
      <c r="A874" s="137"/>
      <c r="B874" s="136"/>
      <c r="C874" s="136"/>
      <c r="D874" s="136"/>
      <c r="E874" s="137"/>
      <c r="F874" s="137"/>
      <c r="G874" s="137"/>
    </row>
    <row r="875">
      <c r="A875" s="137"/>
      <c r="B875" s="136"/>
      <c r="C875" s="136"/>
      <c r="D875" s="136"/>
      <c r="E875" s="137"/>
      <c r="F875" s="137"/>
      <c r="G875" s="137"/>
    </row>
    <row r="876">
      <c r="A876" s="137"/>
      <c r="B876" s="136"/>
      <c r="C876" s="136"/>
      <c r="D876" s="136"/>
      <c r="E876" s="137"/>
      <c r="F876" s="137"/>
      <c r="G876" s="137"/>
    </row>
    <row r="877">
      <c r="A877" s="137"/>
      <c r="B877" s="136"/>
      <c r="C877" s="136"/>
      <c r="D877" s="136"/>
      <c r="E877" s="137"/>
      <c r="F877" s="137"/>
      <c r="G877" s="137"/>
    </row>
    <row r="878">
      <c r="A878" s="137"/>
      <c r="B878" s="136"/>
      <c r="C878" s="136"/>
      <c r="D878" s="136"/>
      <c r="E878" s="137"/>
      <c r="F878" s="137"/>
      <c r="G878" s="137"/>
    </row>
    <row r="879">
      <c r="A879" s="137"/>
      <c r="B879" s="136"/>
      <c r="C879" s="136"/>
      <c r="D879" s="136"/>
      <c r="E879" s="137"/>
      <c r="F879" s="137"/>
      <c r="G879" s="137"/>
    </row>
    <row r="880">
      <c r="A880" s="137"/>
      <c r="B880" s="136"/>
      <c r="C880" s="136"/>
      <c r="D880" s="136"/>
      <c r="E880" s="137"/>
      <c r="F880" s="137"/>
      <c r="G880" s="137"/>
    </row>
    <row r="881">
      <c r="A881" s="137"/>
      <c r="B881" s="136"/>
      <c r="C881" s="136"/>
      <c r="D881" s="136"/>
      <c r="E881" s="137"/>
      <c r="F881" s="137"/>
      <c r="G881" s="137"/>
    </row>
    <row r="882">
      <c r="A882" s="137"/>
      <c r="B882" s="136"/>
      <c r="C882" s="136"/>
      <c r="D882" s="136"/>
      <c r="E882" s="137"/>
      <c r="F882" s="137"/>
      <c r="G882" s="137"/>
    </row>
    <row r="883">
      <c r="A883" s="137"/>
      <c r="B883" s="136"/>
      <c r="C883" s="136"/>
      <c r="D883" s="136"/>
      <c r="E883" s="137"/>
      <c r="F883" s="137"/>
      <c r="G883" s="137"/>
    </row>
    <row r="884">
      <c r="A884" s="137"/>
      <c r="B884" s="136"/>
      <c r="C884" s="136"/>
      <c r="D884" s="136"/>
      <c r="E884" s="137"/>
      <c r="F884" s="137"/>
      <c r="G884" s="137"/>
    </row>
    <row r="885">
      <c r="A885" s="137"/>
      <c r="B885" s="136"/>
      <c r="C885" s="136"/>
      <c r="D885" s="136"/>
      <c r="E885" s="137"/>
      <c r="F885" s="137"/>
      <c r="G885" s="137"/>
    </row>
    <row r="886">
      <c r="A886" s="137"/>
      <c r="B886" s="136"/>
      <c r="C886" s="136"/>
      <c r="D886" s="136"/>
      <c r="E886" s="137"/>
      <c r="F886" s="137"/>
      <c r="G886" s="137"/>
    </row>
    <row r="887">
      <c r="A887" s="137"/>
      <c r="B887" s="136"/>
      <c r="C887" s="136"/>
      <c r="D887" s="136"/>
      <c r="E887" s="137"/>
      <c r="F887" s="137"/>
      <c r="G887" s="137"/>
    </row>
    <row r="888">
      <c r="A888" s="137"/>
      <c r="B888" s="136"/>
      <c r="C888" s="136"/>
      <c r="D888" s="136"/>
      <c r="E888" s="137"/>
      <c r="F888" s="137"/>
      <c r="G888" s="137"/>
    </row>
    <row r="889">
      <c r="A889" s="137"/>
      <c r="B889" s="136"/>
      <c r="C889" s="136"/>
      <c r="D889" s="136"/>
      <c r="E889" s="137"/>
      <c r="F889" s="137"/>
      <c r="G889" s="137"/>
    </row>
    <row r="890">
      <c r="A890" s="137"/>
      <c r="B890" s="136"/>
      <c r="C890" s="136"/>
      <c r="D890" s="136"/>
      <c r="E890" s="137"/>
      <c r="F890" s="137"/>
      <c r="G890" s="137"/>
    </row>
    <row r="891">
      <c r="A891" s="137"/>
      <c r="B891" s="136"/>
      <c r="C891" s="136"/>
      <c r="D891" s="136"/>
      <c r="E891" s="137"/>
      <c r="F891" s="137"/>
      <c r="G891" s="137"/>
    </row>
    <row r="892">
      <c r="A892" s="137"/>
      <c r="B892" s="136"/>
      <c r="C892" s="136"/>
      <c r="D892" s="136"/>
      <c r="E892" s="137"/>
      <c r="F892" s="137"/>
      <c r="G892" s="137"/>
    </row>
    <row r="893">
      <c r="A893" s="137"/>
      <c r="B893" s="136"/>
      <c r="C893" s="136"/>
      <c r="D893" s="136"/>
      <c r="E893" s="137"/>
      <c r="F893" s="137"/>
      <c r="G893" s="137"/>
    </row>
    <row r="894">
      <c r="A894" s="137"/>
      <c r="B894" s="136"/>
      <c r="C894" s="136"/>
      <c r="D894" s="136"/>
      <c r="E894" s="137"/>
      <c r="F894" s="137"/>
      <c r="G894" s="137"/>
    </row>
    <row r="895">
      <c r="A895" s="137"/>
      <c r="B895" s="136"/>
      <c r="C895" s="136"/>
      <c r="D895" s="136"/>
      <c r="E895" s="137"/>
      <c r="F895" s="137"/>
      <c r="G895" s="137"/>
    </row>
    <row r="896">
      <c r="A896" s="137"/>
      <c r="B896" s="136"/>
      <c r="C896" s="136"/>
      <c r="D896" s="136"/>
      <c r="E896" s="137"/>
      <c r="F896" s="137"/>
      <c r="G896" s="137"/>
    </row>
    <row r="897">
      <c r="A897" s="137"/>
      <c r="B897" s="136"/>
      <c r="C897" s="136"/>
      <c r="D897" s="136"/>
      <c r="E897" s="137"/>
      <c r="F897" s="137"/>
      <c r="G897" s="137"/>
    </row>
    <row r="898">
      <c r="A898" s="137"/>
      <c r="B898" s="136"/>
      <c r="C898" s="136"/>
      <c r="D898" s="136"/>
      <c r="E898" s="137"/>
      <c r="F898" s="137"/>
      <c r="G898" s="137"/>
    </row>
    <row r="899">
      <c r="A899" s="137"/>
      <c r="B899" s="136"/>
      <c r="C899" s="136"/>
      <c r="D899" s="136"/>
      <c r="E899" s="137"/>
      <c r="F899" s="137"/>
      <c r="G899" s="137"/>
    </row>
    <row r="900">
      <c r="A900" s="137"/>
      <c r="B900" s="136"/>
      <c r="C900" s="136"/>
      <c r="D900" s="136"/>
      <c r="E900" s="137"/>
      <c r="F900" s="137"/>
      <c r="G900" s="137"/>
    </row>
    <row r="901">
      <c r="A901" s="137"/>
      <c r="B901" s="136"/>
      <c r="C901" s="136"/>
      <c r="D901" s="136"/>
      <c r="E901" s="137"/>
      <c r="F901" s="137"/>
      <c r="G901" s="137"/>
    </row>
    <row r="902">
      <c r="A902" s="137"/>
      <c r="B902" s="136"/>
      <c r="C902" s="136"/>
      <c r="D902" s="136"/>
      <c r="E902" s="137"/>
      <c r="F902" s="137"/>
      <c r="G902" s="137"/>
    </row>
    <row r="903">
      <c r="A903" s="137"/>
      <c r="B903" s="136"/>
      <c r="C903" s="136"/>
      <c r="D903" s="136"/>
      <c r="E903" s="137"/>
      <c r="F903" s="137"/>
      <c r="G903" s="137"/>
    </row>
    <row r="904">
      <c r="A904" s="137"/>
      <c r="B904" s="136"/>
      <c r="C904" s="136"/>
      <c r="D904" s="136"/>
      <c r="E904" s="137"/>
      <c r="F904" s="137"/>
      <c r="G904" s="137"/>
    </row>
    <row r="905">
      <c r="A905" s="137"/>
      <c r="B905" s="136"/>
      <c r="C905" s="136"/>
      <c r="D905" s="136"/>
      <c r="E905" s="137"/>
      <c r="F905" s="137"/>
      <c r="G905" s="137"/>
    </row>
    <row r="906">
      <c r="A906" s="137"/>
      <c r="B906" s="136"/>
      <c r="C906" s="136"/>
      <c r="D906" s="136"/>
      <c r="E906" s="137"/>
      <c r="F906" s="137"/>
      <c r="G906" s="137"/>
    </row>
    <row r="907">
      <c r="A907" s="137"/>
      <c r="B907" s="136"/>
      <c r="C907" s="136"/>
      <c r="D907" s="136"/>
      <c r="E907" s="137"/>
      <c r="F907" s="137"/>
      <c r="G907" s="137"/>
    </row>
    <row r="908">
      <c r="A908" s="137"/>
      <c r="B908" s="136"/>
      <c r="C908" s="136"/>
      <c r="D908" s="136"/>
      <c r="E908" s="137"/>
      <c r="F908" s="137"/>
      <c r="G908" s="137"/>
    </row>
    <row r="909">
      <c r="A909" s="137"/>
      <c r="B909" s="136"/>
      <c r="C909" s="136"/>
      <c r="D909" s="136"/>
      <c r="E909" s="137"/>
      <c r="F909" s="137"/>
      <c r="G909" s="137"/>
    </row>
    <row r="910">
      <c r="A910" s="137"/>
      <c r="B910" s="136"/>
      <c r="C910" s="136"/>
      <c r="D910" s="136"/>
      <c r="E910" s="137"/>
      <c r="F910" s="137"/>
      <c r="G910" s="137"/>
    </row>
    <row r="911">
      <c r="A911" s="137"/>
      <c r="B911" s="136"/>
      <c r="C911" s="136"/>
      <c r="D911" s="136"/>
      <c r="E911" s="137"/>
      <c r="F911" s="137"/>
      <c r="G911" s="137"/>
    </row>
    <row r="912">
      <c r="A912" s="137"/>
      <c r="B912" s="136"/>
      <c r="C912" s="136"/>
      <c r="D912" s="136"/>
      <c r="E912" s="137"/>
      <c r="F912" s="137"/>
      <c r="G912" s="137"/>
    </row>
    <row r="913">
      <c r="A913" s="137"/>
      <c r="B913" s="136"/>
      <c r="C913" s="136"/>
      <c r="D913" s="136"/>
      <c r="E913" s="137"/>
      <c r="F913" s="137"/>
      <c r="G913" s="137"/>
    </row>
    <row r="914">
      <c r="A914" s="137"/>
      <c r="B914" s="136"/>
      <c r="C914" s="136"/>
      <c r="D914" s="136"/>
      <c r="E914" s="137"/>
      <c r="F914" s="137"/>
      <c r="G914" s="137"/>
    </row>
    <row r="915">
      <c r="A915" s="137"/>
      <c r="B915" s="136"/>
      <c r="C915" s="136"/>
      <c r="D915" s="136"/>
      <c r="E915" s="137"/>
      <c r="F915" s="137"/>
      <c r="G915" s="137"/>
    </row>
    <row r="916">
      <c r="A916" s="137"/>
      <c r="B916" s="136"/>
      <c r="C916" s="136"/>
      <c r="D916" s="136"/>
      <c r="E916" s="137"/>
      <c r="F916" s="137"/>
      <c r="G916" s="137"/>
    </row>
    <row r="917">
      <c r="A917" s="137"/>
      <c r="B917" s="136"/>
      <c r="C917" s="136"/>
      <c r="D917" s="136"/>
      <c r="E917" s="137"/>
      <c r="F917" s="137"/>
      <c r="G917" s="137"/>
    </row>
    <row r="918">
      <c r="A918" s="137"/>
      <c r="B918" s="136"/>
      <c r="C918" s="136"/>
      <c r="D918" s="136"/>
      <c r="E918" s="137"/>
      <c r="F918" s="137"/>
      <c r="G918" s="137"/>
    </row>
    <row r="919">
      <c r="A919" s="137"/>
      <c r="B919" s="136"/>
      <c r="C919" s="136"/>
      <c r="D919" s="136"/>
      <c r="E919" s="137"/>
      <c r="F919" s="137"/>
      <c r="G919" s="137"/>
    </row>
    <row r="920">
      <c r="A920" s="137"/>
      <c r="B920" s="136"/>
      <c r="C920" s="136"/>
      <c r="D920" s="136"/>
      <c r="E920" s="137"/>
      <c r="F920" s="137"/>
      <c r="G920" s="137"/>
    </row>
    <row r="921">
      <c r="A921" s="137"/>
      <c r="B921" s="136"/>
      <c r="C921" s="136"/>
      <c r="D921" s="136"/>
      <c r="E921" s="137"/>
      <c r="F921" s="137"/>
      <c r="G921" s="137"/>
    </row>
    <row r="922">
      <c r="A922" s="137"/>
      <c r="B922" s="136"/>
      <c r="C922" s="136"/>
      <c r="D922" s="136"/>
      <c r="E922" s="137"/>
      <c r="F922" s="137"/>
      <c r="G922" s="137"/>
    </row>
    <row r="923">
      <c r="A923" s="137"/>
      <c r="B923" s="136"/>
      <c r="C923" s="136"/>
      <c r="D923" s="136"/>
      <c r="E923" s="137"/>
      <c r="F923" s="137"/>
      <c r="G923" s="137"/>
    </row>
    <row r="924">
      <c r="A924" s="137"/>
      <c r="B924" s="136"/>
      <c r="C924" s="136"/>
      <c r="D924" s="136"/>
      <c r="E924" s="137"/>
      <c r="F924" s="137"/>
      <c r="G924" s="137"/>
    </row>
    <row r="925">
      <c r="A925" s="137"/>
      <c r="B925" s="136"/>
      <c r="C925" s="136"/>
      <c r="D925" s="136"/>
      <c r="E925" s="137"/>
      <c r="F925" s="137"/>
      <c r="G925" s="137"/>
    </row>
    <row r="926">
      <c r="A926" s="137"/>
      <c r="B926" s="136"/>
      <c r="C926" s="136"/>
      <c r="D926" s="136"/>
      <c r="E926" s="137"/>
      <c r="F926" s="137"/>
      <c r="G926" s="137"/>
    </row>
    <row r="927">
      <c r="A927" s="137"/>
      <c r="B927" s="136"/>
      <c r="C927" s="136"/>
      <c r="D927" s="136"/>
      <c r="E927" s="137"/>
      <c r="F927" s="137"/>
      <c r="G927" s="137"/>
    </row>
    <row r="928">
      <c r="A928" s="137"/>
      <c r="B928" s="136"/>
      <c r="C928" s="136"/>
      <c r="D928" s="136"/>
      <c r="E928" s="137"/>
      <c r="F928" s="137"/>
      <c r="G928" s="137"/>
    </row>
    <row r="929">
      <c r="A929" s="137"/>
      <c r="B929" s="136"/>
      <c r="C929" s="136"/>
      <c r="D929" s="136"/>
      <c r="E929" s="137"/>
      <c r="F929" s="137"/>
      <c r="G929" s="137"/>
    </row>
    <row r="930">
      <c r="A930" s="137"/>
      <c r="B930" s="136"/>
      <c r="C930" s="136"/>
      <c r="D930" s="136"/>
      <c r="E930" s="137"/>
      <c r="F930" s="137"/>
      <c r="G930" s="137"/>
    </row>
    <row r="931">
      <c r="A931" s="137"/>
      <c r="B931" s="136"/>
      <c r="C931" s="136"/>
      <c r="D931" s="136"/>
      <c r="E931" s="137"/>
      <c r="F931" s="137"/>
      <c r="G931" s="137"/>
    </row>
    <row r="932">
      <c r="A932" s="137"/>
      <c r="B932" s="136"/>
      <c r="C932" s="136"/>
      <c r="D932" s="136"/>
      <c r="E932" s="137"/>
      <c r="F932" s="137"/>
      <c r="G932" s="137"/>
    </row>
    <row r="933">
      <c r="A933" s="137"/>
      <c r="B933" s="136"/>
      <c r="C933" s="136"/>
      <c r="D933" s="136"/>
      <c r="E933" s="137"/>
      <c r="F933" s="137"/>
      <c r="G933" s="137"/>
    </row>
    <row r="934">
      <c r="A934" s="137"/>
      <c r="B934" s="136"/>
      <c r="C934" s="136"/>
      <c r="D934" s="136"/>
      <c r="E934" s="137"/>
      <c r="F934" s="137"/>
      <c r="G934" s="137"/>
    </row>
    <row r="935">
      <c r="A935" s="137"/>
      <c r="B935" s="136"/>
      <c r="C935" s="136"/>
      <c r="D935" s="136"/>
      <c r="E935" s="137"/>
      <c r="F935" s="137"/>
      <c r="G935" s="137"/>
    </row>
    <row r="936">
      <c r="A936" s="137"/>
      <c r="B936" s="136"/>
      <c r="C936" s="136"/>
      <c r="D936" s="136"/>
      <c r="E936" s="137"/>
      <c r="F936" s="137"/>
      <c r="G936" s="137"/>
    </row>
    <row r="937">
      <c r="A937" s="137"/>
      <c r="B937" s="136"/>
      <c r="C937" s="136"/>
      <c r="D937" s="136"/>
      <c r="E937" s="137"/>
      <c r="F937" s="137"/>
      <c r="G937" s="137"/>
    </row>
    <row r="938">
      <c r="A938" s="137"/>
      <c r="B938" s="136"/>
      <c r="C938" s="136"/>
      <c r="D938" s="136"/>
      <c r="E938" s="137"/>
      <c r="F938" s="137"/>
      <c r="G938" s="137"/>
    </row>
    <row r="939">
      <c r="A939" s="137"/>
      <c r="B939" s="136"/>
      <c r="C939" s="136"/>
      <c r="D939" s="136"/>
      <c r="E939" s="137"/>
      <c r="F939" s="137"/>
      <c r="G939" s="137"/>
    </row>
    <row r="940">
      <c r="A940" s="137"/>
      <c r="B940" s="136"/>
      <c r="C940" s="136"/>
      <c r="D940" s="136"/>
      <c r="E940" s="137"/>
      <c r="F940" s="137"/>
      <c r="G940" s="137"/>
    </row>
    <row r="941">
      <c r="A941" s="137"/>
      <c r="B941" s="136"/>
      <c r="C941" s="136"/>
      <c r="D941" s="136"/>
      <c r="E941" s="137"/>
      <c r="F941" s="137"/>
      <c r="G941" s="137"/>
    </row>
    <row r="942">
      <c r="A942" s="137"/>
      <c r="B942" s="136"/>
      <c r="C942" s="136"/>
      <c r="D942" s="136"/>
      <c r="E942" s="137"/>
      <c r="F942" s="137"/>
      <c r="G942" s="137"/>
    </row>
    <row r="943">
      <c r="A943" s="137"/>
      <c r="B943" s="136"/>
      <c r="C943" s="136"/>
      <c r="D943" s="136"/>
      <c r="E943" s="137"/>
      <c r="F943" s="137"/>
      <c r="G943" s="137"/>
    </row>
    <row r="944">
      <c r="A944" s="137"/>
      <c r="B944" s="136"/>
      <c r="C944" s="136"/>
      <c r="D944" s="136"/>
      <c r="E944" s="137"/>
      <c r="F944" s="137"/>
      <c r="G944" s="137"/>
    </row>
    <row r="945">
      <c r="A945" s="137"/>
      <c r="B945" s="136"/>
      <c r="C945" s="136"/>
      <c r="D945" s="136"/>
      <c r="E945" s="137"/>
      <c r="F945" s="137"/>
      <c r="G945" s="137"/>
    </row>
    <row r="946">
      <c r="A946" s="137"/>
      <c r="B946" s="136"/>
      <c r="C946" s="136"/>
      <c r="D946" s="136"/>
      <c r="E946" s="137"/>
      <c r="F946" s="137"/>
      <c r="G946" s="137"/>
    </row>
    <row r="947">
      <c r="A947" s="137"/>
      <c r="B947" s="136"/>
      <c r="C947" s="136"/>
      <c r="D947" s="136"/>
      <c r="E947" s="137"/>
      <c r="F947" s="137"/>
      <c r="G947" s="137"/>
    </row>
    <row r="948">
      <c r="A948" s="137"/>
      <c r="B948" s="136"/>
      <c r="C948" s="136"/>
      <c r="D948" s="136"/>
      <c r="E948" s="137"/>
      <c r="F948" s="137"/>
      <c r="G948" s="137"/>
    </row>
    <row r="949">
      <c r="A949" s="137"/>
      <c r="B949" s="136"/>
      <c r="C949" s="136"/>
      <c r="D949" s="136"/>
      <c r="E949" s="137"/>
      <c r="F949" s="137"/>
      <c r="G949" s="137"/>
    </row>
    <row r="950">
      <c r="A950" s="137"/>
      <c r="B950" s="136"/>
      <c r="C950" s="136"/>
      <c r="D950" s="136"/>
      <c r="E950" s="137"/>
      <c r="F950" s="137"/>
      <c r="G950" s="137"/>
    </row>
    <row r="951">
      <c r="A951" s="137"/>
      <c r="B951" s="136"/>
      <c r="C951" s="136"/>
      <c r="D951" s="136"/>
      <c r="E951" s="137"/>
      <c r="F951" s="137"/>
      <c r="G951" s="137"/>
    </row>
    <row r="952">
      <c r="A952" s="137"/>
      <c r="B952" s="136"/>
      <c r="C952" s="136"/>
      <c r="D952" s="136"/>
      <c r="E952" s="137"/>
      <c r="F952" s="137"/>
      <c r="G952" s="137"/>
    </row>
    <row r="953">
      <c r="A953" s="137"/>
      <c r="B953" s="136"/>
      <c r="C953" s="136"/>
      <c r="D953" s="136"/>
      <c r="E953" s="137"/>
      <c r="F953" s="137"/>
      <c r="G953" s="137"/>
    </row>
    <row r="954">
      <c r="A954" s="137"/>
      <c r="B954" s="136"/>
      <c r="C954" s="136"/>
      <c r="D954" s="136"/>
      <c r="E954" s="137"/>
      <c r="F954" s="137"/>
      <c r="G954" s="137"/>
    </row>
    <row r="955">
      <c r="A955" s="137"/>
      <c r="B955" s="136"/>
      <c r="C955" s="136"/>
      <c r="D955" s="136"/>
      <c r="E955" s="137"/>
      <c r="F955" s="137"/>
      <c r="G955" s="137"/>
    </row>
    <row r="956">
      <c r="A956" s="137"/>
      <c r="B956" s="136"/>
      <c r="C956" s="136"/>
      <c r="D956" s="136"/>
      <c r="E956" s="137"/>
      <c r="F956" s="137"/>
      <c r="G956" s="137"/>
    </row>
    <row r="957">
      <c r="A957" s="137"/>
      <c r="B957" s="136"/>
      <c r="C957" s="136"/>
      <c r="D957" s="136"/>
      <c r="E957" s="137"/>
      <c r="F957" s="137"/>
      <c r="G957" s="137"/>
    </row>
    <row r="958">
      <c r="A958" s="137"/>
      <c r="B958" s="136"/>
      <c r="C958" s="136"/>
      <c r="D958" s="136"/>
      <c r="E958" s="137"/>
      <c r="F958" s="137"/>
      <c r="G958" s="137"/>
    </row>
    <row r="959">
      <c r="A959" s="137"/>
      <c r="B959" s="136"/>
      <c r="C959" s="136"/>
      <c r="D959" s="136"/>
      <c r="E959" s="137"/>
      <c r="F959" s="137"/>
      <c r="G959" s="137"/>
    </row>
    <row r="960">
      <c r="A960" s="137"/>
      <c r="B960" s="136"/>
      <c r="C960" s="136"/>
      <c r="D960" s="136"/>
      <c r="E960" s="137"/>
      <c r="F960" s="137"/>
      <c r="G960" s="137"/>
    </row>
    <row r="961">
      <c r="A961" s="137"/>
      <c r="B961" s="136"/>
      <c r="C961" s="136"/>
      <c r="D961" s="136"/>
      <c r="E961" s="137"/>
      <c r="F961" s="137"/>
      <c r="G961" s="137"/>
    </row>
    <row r="962">
      <c r="A962" s="137"/>
      <c r="B962" s="136"/>
      <c r="C962" s="136"/>
      <c r="D962" s="136"/>
      <c r="E962" s="137"/>
      <c r="F962" s="137"/>
      <c r="G962" s="137"/>
    </row>
    <row r="963">
      <c r="A963" s="137"/>
      <c r="B963" s="136"/>
      <c r="C963" s="136"/>
      <c r="D963" s="136"/>
      <c r="E963" s="137"/>
      <c r="F963" s="137"/>
      <c r="G963" s="137"/>
    </row>
    <row r="964">
      <c r="A964" s="137"/>
      <c r="B964" s="136"/>
      <c r="C964" s="136"/>
      <c r="D964" s="136"/>
      <c r="E964" s="137"/>
      <c r="F964" s="137"/>
      <c r="G964" s="137"/>
    </row>
    <row r="965">
      <c r="A965" s="137"/>
      <c r="B965" s="136"/>
      <c r="C965" s="136"/>
      <c r="D965" s="136"/>
      <c r="E965" s="137"/>
      <c r="F965" s="137"/>
      <c r="G965" s="137"/>
    </row>
    <row r="966">
      <c r="A966" s="137"/>
      <c r="B966" s="136"/>
      <c r="C966" s="136"/>
      <c r="D966" s="136"/>
      <c r="E966" s="137"/>
      <c r="F966" s="137"/>
      <c r="G966" s="137"/>
    </row>
    <row r="967">
      <c r="A967" s="137"/>
      <c r="B967" s="136"/>
      <c r="C967" s="136"/>
      <c r="D967" s="136"/>
      <c r="E967" s="137"/>
      <c r="F967" s="137"/>
      <c r="G967" s="137"/>
    </row>
    <row r="968">
      <c r="A968" s="137"/>
      <c r="B968" s="136"/>
      <c r="C968" s="136"/>
      <c r="D968" s="136"/>
      <c r="E968" s="137"/>
      <c r="F968" s="137"/>
      <c r="G968" s="137"/>
    </row>
    <row r="969">
      <c r="A969" s="137"/>
      <c r="B969" s="136"/>
      <c r="C969" s="136"/>
      <c r="D969" s="136"/>
      <c r="E969" s="137"/>
      <c r="F969" s="137"/>
      <c r="G969" s="137"/>
    </row>
    <row r="970">
      <c r="A970" s="137"/>
      <c r="B970" s="136"/>
      <c r="C970" s="136"/>
      <c r="D970" s="136"/>
      <c r="E970" s="137"/>
      <c r="F970" s="137"/>
      <c r="G970" s="137"/>
    </row>
    <row r="971">
      <c r="A971" s="137"/>
      <c r="B971" s="136"/>
      <c r="C971" s="136"/>
      <c r="D971" s="136"/>
      <c r="E971" s="137"/>
      <c r="F971" s="137"/>
      <c r="G971" s="137"/>
    </row>
    <row r="972">
      <c r="A972" s="137"/>
      <c r="B972" s="136"/>
      <c r="C972" s="136"/>
      <c r="D972" s="136"/>
      <c r="E972" s="137"/>
      <c r="F972" s="137"/>
      <c r="G972" s="137"/>
    </row>
    <row r="973">
      <c r="A973" s="137"/>
      <c r="B973" s="136"/>
      <c r="C973" s="136"/>
      <c r="D973" s="136"/>
      <c r="E973" s="137"/>
      <c r="F973" s="137"/>
      <c r="G973" s="137"/>
    </row>
    <row r="974">
      <c r="A974" s="137"/>
      <c r="B974" s="136"/>
      <c r="C974" s="136"/>
      <c r="D974" s="136"/>
      <c r="E974" s="137"/>
      <c r="F974" s="137"/>
      <c r="G974" s="137"/>
    </row>
    <row r="975">
      <c r="A975" s="137"/>
      <c r="B975" s="136"/>
      <c r="C975" s="136"/>
      <c r="D975" s="136"/>
      <c r="E975" s="137"/>
      <c r="F975" s="137"/>
      <c r="G975" s="137"/>
    </row>
    <row r="976">
      <c r="A976" s="137"/>
      <c r="B976" s="136"/>
      <c r="C976" s="136"/>
      <c r="D976" s="136"/>
      <c r="E976" s="137"/>
      <c r="F976" s="137"/>
      <c r="G976" s="137"/>
    </row>
    <row r="977">
      <c r="A977" s="137"/>
      <c r="B977" s="136"/>
      <c r="C977" s="136"/>
      <c r="D977" s="136"/>
      <c r="E977" s="137"/>
      <c r="F977" s="137"/>
      <c r="G977" s="137"/>
    </row>
    <row r="978">
      <c r="A978" s="137"/>
      <c r="B978" s="136"/>
      <c r="C978" s="136"/>
      <c r="D978" s="136"/>
      <c r="E978" s="137"/>
      <c r="F978" s="137"/>
      <c r="G978" s="137"/>
    </row>
    <row r="979">
      <c r="A979" s="137"/>
      <c r="B979" s="136"/>
      <c r="C979" s="136"/>
      <c r="D979" s="136"/>
      <c r="E979" s="137"/>
      <c r="F979" s="137"/>
      <c r="G979" s="137"/>
    </row>
    <row r="980">
      <c r="A980" s="137"/>
      <c r="B980" s="136"/>
      <c r="C980" s="136"/>
      <c r="D980" s="136"/>
      <c r="E980" s="137"/>
      <c r="F980" s="137"/>
      <c r="G980" s="137"/>
    </row>
    <row r="981">
      <c r="A981" s="137"/>
      <c r="B981" s="136"/>
      <c r="C981" s="136"/>
      <c r="D981" s="136"/>
      <c r="E981" s="137"/>
      <c r="F981" s="137"/>
      <c r="G981" s="137"/>
    </row>
    <row r="982">
      <c r="A982" s="137"/>
      <c r="B982" s="136"/>
      <c r="C982" s="136"/>
      <c r="D982" s="136"/>
      <c r="E982" s="137"/>
      <c r="F982" s="137"/>
      <c r="G982" s="137"/>
    </row>
    <row r="983">
      <c r="A983" s="137"/>
      <c r="B983" s="136"/>
      <c r="C983" s="136"/>
      <c r="D983" s="136"/>
      <c r="E983" s="137"/>
      <c r="F983" s="137"/>
      <c r="G983" s="137"/>
    </row>
    <row r="984">
      <c r="A984" s="137"/>
      <c r="B984" s="136"/>
      <c r="C984" s="136"/>
      <c r="D984" s="136"/>
      <c r="E984" s="137"/>
      <c r="F984" s="137"/>
      <c r="G984" s="137"/>
    </row>
    <row r="985">
      <c r="A985" s="137"/>
      <c r="B985" s="136"/>
      <c r="C985" s="136"/>
      <c r="D985" s="136"/>
      <c r="E985" s="137"/>
      <c r="F985" s="137"/>
      <c r="G985" s="137"/>
    </row>
    <row r="986">
      <c r="A986" s="137"/>
      <c r="B986" s="136"/>
      <c r="C986" s="136"/>
      <c r="D986" s="136"/>
      <c r="E986" s="137"/>
      <c r="F986" s="137"/>
      <c r="G986" s="137"/>
    </row>
    <row r="987">
      <c r="A987" s="137"/>
      <c r="B987" s="136"/>
      <c r="C987" s="136"/>
      <c r="D987" s="136"/>
      <c r="E987" s="137"/>
      <c r="F987" s="137"/>
      <c r="G987" s="137"/>
    </row>
    <row r="988">
      <c r="A988" s="137"/>
      <c r="B988" s="136"/>
      <c r="C988" s="136"/>
      <c r="D988" s="136"/>
      <c r="E988" s="137"/>
      <c r="F988" s="137"/>
      <c r="G988" s="137"/>
    </row>
    <row r="989">
      <c r="A989" s="137"/>
      <c r="B989" s="136"/>
      <c r="C989" s="136"/>
      <c r="D989" s="136"/>
      <c r="E989" s="137"/>
      <c r="F989" s="137"/>
      <c r="G989" s="137"/>
    </row>
    <row r="990">
      <c r="A990" s="137"/>
      <c r="B990" s="136"/>
      <c r="C990" s="136"/>
      <c r="D990" s="136"/>
      <c r="E990" s="137"/>
      <c r="F990" s="137"/>
      <c r="G990" s="137"/>
    </row>
    <row r="991">
      <c r="A991" s="137"/>
      <c r="B991" s="136"/>
      <c r="C991" s="136"/>
      <c r="D991" s="136"/>
      <c r="E991" s="137"/>
      <c r="F991" s="137"/>
      <c r="G991" s="137"/>
    </row>
    <row r="992">
      <c r="A992" s="137"/>
      <c r="B992" s="136"/>
      <c r="C992" s="136"/>
      <c r="D992" s="136"/>
      <c r="E992" s="137"/>
      <c r="F992" s="137"/>
      <c r="G992" s="137"/>
    </row>
    <row r="993">
      <c r="A993" s="137"/>
      <c r="B993" s="136"/>
      <c r="C993" s="136"/>
      <c r="D993" s="136"/>
      <c r="E993" s="137"/>
      <c r="F993" s="137"/>
      <c r="G993" s="137"/>
    </row>
    <row r="994">
      <c r="A994" s="137"/>
      <c r="B994" s="136"/>
      <c r="C994" s="136"/>
      <c r="D994" s="136"/>
      <c r="E994" s="137"/>
      <c r="F994" s="137"/>
      <c r="G994" s="137"/>
    </row>
    <row r="995">
      <c r="A995" s="137"/>
      <c r="B995" s="136"/>
      <c r="C995" s="136"/>
      <c r="D995" s="136"/>
      <c r="E995" s="137"/>
      <c r="F995" s="137"/>
      <c r="G995" s="137"/>
    </row>
    <row r="996">
      <c r="A996" s="137"/>
      <c r="B996" s="136"/>
      <c r="C996" s="136"/>
      <c r="D996" s="136"/>
      <c r="E996" s="137"/>
      <c r="F996" s="137"/>
      <c r="G996" s="137"/>
    </row>
    <row r="997">
      <c r="A997" s="137"/>
      <c r="B997" s="136"/>
      <c r="C997" s="136"/>
      <c r="D997" s="136"/>
      <c r="E997" s="137"/>
      <c r="F997" s="137"/>
      <c r="G997" s="137"/>
    </row>
    <row r="998">
      <c r="A998" s="137"/>
      <c r="B998" s="136"/>
      <c r="C998" s="136"/>
      <c r="D998" s="136"/>
      <c r="E998" s="137"/>
      <c r="F998" s="137"/>
      <c r="G998" s="137"/>
    </row>
    <row r="999">
      <c r="A999" s="137"/>
      <c r="B999" s="136"/>
      <c r="C999" s="136"/>
      <c r="D999" s="136"/>
      <c r="E999" s="137"/>
      <c r="F999" s="137"/>
      <c r="G999" s="137"/>
    </row>
    <row r="1000">
      <c r="A1000" s="137"/>
      <c r="B1000" s="136"/>
      <c r="C1000" s="136"/>
      <c r="D1000" s="136"/>
      <c r="E1000" s="137"/>
      <c r="F1000" s="137"/>
      <c r="G1000" s="137"/>
    </row>
    <row r="1001">
      <c r="A1001" s="137"/>
      <c r="B1001" s="136"/>
      <c r="C1001" s="136"/>
      <c r="D1001" s="136"/>
      <c r="E1001" s="137"/>
      <c r="F1001" s="137"/>
      <c r="G1001" s="137"/>
    </row>
    <row r="1002">
      <c r="A1002" s="137"/>
      <c r="B1002" s="136"/>
      <c r="C1002" s="136"/>
      <c r="D1002" s="136"/>
      <c r="E1002" s="137"/>
      <c r="F1002" s="137"/>
      <c r="G1002" s="137"/>
    </row>
    <row r="1003">
      <c r="A1003" s="137"/>
      <c r="B1003" s="136"/>
      <c r="C1003" s="136"/>
      <c r="D1003" s="136"/>
      <c r="E1003" s="137"/>
      <c r="F1003" s="137"/>
      <c r="G1003" s="137"/>
    </row>
    <row r="1004">
      <c r="A1004" s="137"/>
      <c r="B1004" s="136"/>
      <c r="C1004" s="136"/>
      <c r="D1004" s="136"/>
      <c r="E1004" s="137"/>
      <c r="F1004" s="137"/>
      <c r="G1004" s="137"/>
    </row>
    <row r="1005">
      <c r="A1005" s="137"/>
      <c r="B1005" s="136"/>
      <c r="C1005" s="136"/>
      <c r="D1005" s="136"/>
      <c r="E1005" s="137"/>
      <c r="F1005" s="137"/>
      <c r="G1005" s="137"/>
    </row>
    <row r="1006">
      <c r="A1006" s="137"/>
      <c r="B1006" s="136"/>
      <c r="C1006" s="136"/>
      <c r="D1006" s="136"/>
      <c r="E1006" s="137"/>
      <c r="F1006" s="137"/>
      <c r="G1006" s="137"/>
    </row>
    <row r="1007">
      <c r="A1007" s="137"/>
      <c r="B1007" s="136"/>
      <c r="C1007" s="136"/>
      <c r="D1007" s="136"/>
      <c r="E1007" s="137"/>
      <c r="F1007" s="137"/>
      <c r="G1007" s="137"/>
    </row>
    <row r="1008">
      <c r="A1008" s="137"/>
      <c r="B1008" s="136"/>
      <c r="C1008" s="136"/>
      <c r="D1008" s="136"/>
      <c r="E1008" s="137"/>
      <c r="F1008" s="137"/>
      <c r="G1008" s="137"/>
    </row>
    <row r="1009">
      <c r="A1009" s="137"/>
      <c r="B1009" s="136"/>
      <c r="C1009" s="136"/>
      <c r="D1009" s="136"/>
      <c r="E1009" s="137"/>
      <c r="F1009" s="137"/>
      <c r="G1009" s="137"/>
    </row>
    <row r="1010">
      <c r="A1010" s="137"/>
      <c r="B1010" s="136"/>
      <c r="C1010" s="136"/>
      <c r="D1010" s="136"/>
      <c r="E1010" s="137"/>
      <c r="F1010" s="137"/>
      <c r="G1010" s="137"/>
    </row>
    <row r="1011">
      <c r="A1011" s="137"/>
      <c r="B1011" s="136"/>
      <c r="C1011" s="136"/>
      <c r="D1011" s="136"/>
      <c r="E1011" s="137"/>
      <c r="F1011" s="137"/>
      <c r="G1011" s="137"/>
    </row>
    <row r="1012">
      <c r="A1012" s="137"/>
      <c r="B1012" s="136"/>
      <c r="C1012" s="136"/>
      <c r="D1012" s="136"/>
      <c r="E1012" s="137"/>
      <c r="F1012" s="137"/>
      <c r="G1012" s="137"/>
    </row>
    <row r="1013">
      <c r="A1013" s="137"/>
      <c r="B1013" s="136"/>
      <c r="C1013" s="136"/>
      <c r="D1013" s="136"/>
      <c r="E1013" s="137"/>
      <c r="F1013" s="137"/>
      <c r="G1013" s="137"/>
    </row>
    <row r="1014">
      <c r="A1014" s="137"/>
      <c r="B1014" s="136"/>
      <c r="C1014" s="136"/>
      <c r="D1014" s="136"/>
      <c r="E1014" s="137"/>
      <c r="F1014" s="137"/>
      <c r="G1014" s="137"/>
    </row>
    <row r="1015">
      <c r="A1015" s="137"/>
      <c r="B1015" s="136"/>
      <c r="C1015" s="136"/>
      <c r="D1015" s="136"/>
      <c r="E1015" s="137"/>
      <c r="F1015" s="137"/>
      <c r="G1015" s="137"/>
    </row>
    <row r="1016">
      <c r="A1016" s="137"/>
      <c r="B1016" s="136"/>
      <c r="C1016" s="136"/>
      <c r="D1016" s="136"/>
      <c r="E1016" s="137"/>
      <c r="F1016" s="137"/>
      <c r="G1016" s="137"/>
    </row>
    <row r="1017">
      <c r="A1017" s="137"/>
      <c r="B1017" s="136"/>
      <c r="C1017" s="136"/>
      <c r="D1017" s="136"/>
      <c r="E1017" s="137"/>
      <c r="F1017" s="137"/>
      <c r="G1017" s="137"/>
    </row>
    <row r="1018">
      <c r="A1018" s="137"/>
      <c r="B1018" s="136"/>
      <c r="C1018" s="136"/>
      <c r="D1018" s="136"/>
      <c r="E1018" s="137"/>
      <c r="F1018" s="137"/>
      <c r="G1018" s="137"/>
    </row>
    <row r="1019">
      <c r="A1019" s="137"/>
      <c r="B1019" s="136"/>
      <c r="C1019" s="136"/>
      <c r="D1019" s="136"/>
      <c r="E1019" s="137"/>
      <c r="F1019" s="137"/>
      <c r="G1019" s="137"/>
    </row>
    <row r="1020">
      <c r="A1020" s="137"/>
      <c r="B1020" s="136"/>
      <c r="C1020" s="136"/>
      <c r="D1020" s="136"/>
      <c r="E1020" s="137"/>
      <c r="F1020" s="137"/>
      <c r="G1020" s="137"/>
    </row>
    <row r="1021">
      <c r="A1021" s="137"/>
      <c r="B1021" s="136"/>
      <c r="C1021" s="136"/>
      <c r="D1021" s="136"/>
      <c r="E1021" s="137"/>
      <c r="F1021" s="137"/>
      <c r="G1021" s="137"/>
    </row>
    <row r="1022">
      <c r="A1022" s="137"/>
      <c r="B1022" s="136"/>
      <c r="C1022" s="136"/>
      <c r="D1022" s="136"/>
      <c r="E1022" s="137"/>
      <c r="F1022" s="137"/>
      <c r="G1022" s="137"/>
    </row>
    <row r="1023">
      <c r="A1023" s="137"/>
      <c r="B1023" s="136"/>
      <c r="C1023" s="136"/>
      <c r="D1023" s="136"/>
      <c r="E1023" s="137"/>
      <c r="F1023" s="137"/>
      <c r="G1023" s="137"/>
    </row>
    <row r="1024">
      <c r="A1024" s="137"/>
      <c r="B1024" s="136"/>
      <c r="C1024" s="136"/>
      <c r="D1024" s="136"/>
      <c r="E1024" s="137"/>
      <c r="F1024" s="137"/>
      <c r="G1024" s="137"/>
    </row>
    <row r="1025">
      <c r="A1025" s="137"/>
      <c r="B1025" s="136"/>
      <c r="C1025" s="136"/>
      <c r="D1025" s="136"/>
      <c r="E1025" s="137"/>
      <c r="F1025" s="137"/>
      <c r="G1025" s="137"/>
    </row>
    <row r="1026">
      <c r="A1026" s="137"/>
      <c r="B1026" s="136"/>
      <c r="C1026" s="136"/>
      <c r="D1026" s="136"/>
      <c r="E1026" s="137"/>
      <c r="F1026" s="137"/>
      <c r="G1026" s="137"/>
    </row>
    <row r="1027">
      <c r="A1027" s="137"/>
      <c r="B1027" s="136"/>
      <c r="C1027" s="136"/>
      <c r="D1027" s="136"/>
      <c r="E1027" s="137"/>
      <c r="F1027" s="137"/>
      <c r="G1027" s="137"/>
    </row>
    <row r="1028">
      <c r="A1028" s="137"/>
      <c r="B1028" s="136"/>
      <c r="C1028" s="136"/>
      <c r="D1028" s="136"/>
      <c r="E1028" s="137"/>
      <c r="F1028" s="137"/>
      <c r="G1028" s="137"/>
    </row>
    <row r="1029">
      <c r="A1029" s="137"/>
      <c r="B1029" s="136"/>
      <c r="C1029" s="136"/>
      <c r="D1029" s="136"/>
      <c r="E1029" s="137"/>
      <c r="F1029" s="137"/>
      <c r="G1029" s="137"/>
    </row>
    <row r="1030">
      <c r="A1030" s="137"/>
      <c r="B1030" s="136"/>
      <c r="C1030" s="136"/>
      <c r="D1030" s="136"/>
      <c r="E1030" s="137"/>
      <c r="F1030" s="137"/>
      <c r="G1030" s="137"/>
    </row>
    <row r="1031">
      <c r="A1031" s="137"/>
      <c r="B1031" s="136"/>
      <c r="C1031" s="136"/>
      <c r="D1031" s="136"/>
      <c r="E1031" s="137"/>
      <c r="F1031" s="137"/>
      <c r="G1031" s="137"/>
    </row>
    <row r="1032">
      <c r="A1032" s="137"/>
      <c r="B1032" s="136"/>
      <c r="C1032" s="136"/>
      <c r="D1032" s="136"/>
      <c r="E1032" s="137"/>
      <c r="F1032" s="137"/>
      <c r="G1032" s="137"/>
    </row>
    <row r="1033">
      <c r="A1033" s="137"/>
      <c r="B1033" s="136"/>
      <c r="C1033" s="136"/>
      <c r="D1033" s="136"/>
      <c r="E1033" s="137"/>
      <c r="F1033" s="137"/>
      <c r="G1033" s="137"/>
    </row>
    <row r="1034">
      <c r="A1034" s="137"/>
      <c r="B1034" s="136"/>
      <c r="C1034" s="136"/>
      <c r="D1034" s="136"/>
      <c r="E1034" s="137"/>
      <c r="F1034" s="137"/>
      <c r="G1034" s="137"/>
    </row>
    <row r="1035">
      <c r="A1035" s="137"/>
      <c r="B1035" s="136"/>
      <c r="C1035" s="136"/>
      <c r="D1035" s="136"/>
      <c r="E1035" s="137"/>
      <c r="F1035" s="137"/>
      <c r="G1035" s="137"/>
    </row>
    <row r="1036">
      <c r="A1036" s="137"/>
      <c r="B1036" s="136"/>
      <c r="C1036" s="136"/>
      <c r="D1036" s="136"/>
      <c r="E1036" s="137"/>
      <c r="F1036" s="137"/>
      <c r="G1036" s="137"/>
    </row>
    <row r="1037">
      <c r="A1037" s="137"/>
      <c r="B1037" s="136"/>
      <c r="C1037" s="136"/>
      <c r="D1037" s="136"/>
      <c r="E1037" s="137"/>
      <c r="F1037" s="137"/>
      <c r="G1037" s="137"/>
    </row>
    <row r="1038">
      <c r="A1038" s="137"/>
      <c r="B1038" s="136"/>
      <c r="C1038" s="136"/>
      <c r="D1038" s="136"/>
      <c r="E1038" s="137"/>
      <c r="F1038" s="137"/>
      <c r="G1038" s="137"/>
    </row>
    <row r="1039">
      <c r="A1039" s="137"/>
      <c r="B1039" s="136"/>
      <c r="C1039" s="136"/>
      <c r="D1039" s="136"/>
      <c r="E1039" s="137"/>
      <c r="F1039" s="137"/>
      <c r="G1039" s="137"/>
    </row>
    <row r="1040">
      <c r="A1040" s="137"/>
      <c r="B1040" s="136"/>
      <c r="C1040" s="136"/>
      <c r="D1040" s="136"/>
      <c r="E1040" s="137"/>
      <c r="F1040" s="137"/>
      <c r="G1040" s="137"/>
    </row>
    <row r="1041">
      <c r="A1041" s="137"/>
      <c r="B1041" s="136"/>
      <c r="C1041" s="136"/>
      <c r="D1041" s="136"/>
      <c r="E1041" s="137"/>
      <c r="F1041" s="137"/>
      <c r="G1041" s="137"/>
    </row>
    <row r="1042">
      <c r="A1042" s="137"/>
      <c r="B1042" s="136"/>
      <c r="C1042" s="136"/>
      <c r="D1042" s="136"/>
      <c r="E1042" s="137"/>
      <c r="F1042" s="137"/>
      <c r="G1042" s="137"/>
    </row>
    <row r="1043">
      <c r="A1043" s="137"/>
      <c r="B1043" s="136"/>
      <c r="C1043" s="136"/>
      <c r="D1043" s="136"/>
      <c r="E1043" s="137"/>
      <c r="F1043" s="137"/>
      <c r="G1043" s="137"/>
    </row>
    <row r="1044">
      <c r="A1044" s="137"/>
      <c r="B1044" s="136"/>
      <c r="C1044" s="136"/>
      <c r="D1044" s="136"/>
      <c r="E1044" s="137"/>
      <c r="F1044" s="137"/>
      <c r="G1044" s="137"/>
    </row>
    <row r="1045">
      <c r="A1045" s="137"/>
      <c r="B1045" s="136"/>
      <c r="C1045" s="136"/>
      <c r="D1045" s="136"/>
      <c r="E1045" s="137"/>
      <c r="F1045" s="137"/>
      <c r="G1045" s="137"/>
    </row>
    <row r="1046">
      <c r="A1046" s="137"/>
      <c r="B1046" s="136"/>
      <c r="C1046" s="136"/>
      <c r="D1046" s="136"/>
      <c r="E1046" s="137"/>
      <c r="F1046" s="137"/>
    </row>
    <row r="1047">
      <c r="A1047" s="137"/>
      <c r="B1047" s="136"/>
      <c r="C1047" s="136"/>
      <c r="D1047" s="136"/>
      <c r="E1047" s="137"/>
      <c r="F1047" s="137"/>
    </row>
    <row r="1048">
      <c r="A1048" s="137"/>
      <c r="B1048" s="136"/>
      <c r="C1048" s="136"/>
      <c r="D1048" s="136"/>
      <c r="E1048" s="137"/>
      <c r="F1048" s="137"/>
    </row>
    <row r="1049">
      <c r="A1049" s="137"/>
      <c r="B1049" s="136"/>
      <c r="C1049" s="136"/>
      <c r="D1049" s="136"/>
      <c r="E1049" s="137"/>
      <c r="F1049" s="137"/>
    </row>
    <row r="1050">
      <c r="A1050" s="137"/>
      <c r="B1050" s="136"/>
      <c r="C1050" s="136"/>
      <c r="D1050" s="136"/>
      <c r="E1050" s="137"/>
      <c r="F1050" s="137"/>
    </row>
    <row r="1051">
      <c r="A1051" s="137"/>
      <c r="B1051" s="136"/>
      <c r="C1051" s="136"/>
      <c r="D1051" s="136"/>
      <c r="E1051" s="137"/>
      <c r="F1051" s="137"/>
    </row>
    <row r="1052">
      <c r="A1052" s="137"/>
      <c r="B1052" s="136"/>
      <c r="C1052" s="136"/>
      <c r="D1052" s="136"/>
      <c r="E1052" s="137"/>
      <c r="F1052" s="137"/>
    </row>
    <row r="1053">
      <c r="A1053" s="137"/>
      <c r="B1053" s="136"/>
      <c r="C1053" s="136"/>
      <c r="D1053" s="136"/>
      <c r="E1053" s="137"/>
      <c r="F1053" s="137"/>
    </row>
    <row r="1054">
      <c r="A1054" s="137"/>
      <c r="B1054" s="136"/>
      <c r="C1054" s="136"/>
      <c r="D1054" s="136"/>
      <c r="E1054" s="137"/>
      <c r="F1054" s="137"/>
    </row>
    <row r="1055">
      <c r="A1055" s="137"/>
      <c r="B1055" s="136"/>
      <c r="C1055" s="136"/>
      <c r="D1055" s="136"/>
      <c r="E1055" s="137"/>
      <c r="F1055" s="137"/>
    </row>
    <row r="1056">
      <c r="A1056" s="137"/>
      <c r="B1056" s="136"/>
      <c r="C1056" s="136"/>
      <c r="D1056" s="136"/>
      <c r="E1056" s="137"/>
      <c r="F1056" s="137"/>
    </row>
    <row r="1057">
      <c r="A1057" s="137"/>
      <c r="B1057" s="136"/>
      <c r="C1057" s="136"/>
      <c r="D1057" s="136"/>
      <c r="E1057" s="137"/>
      <c r="F1057" s="137"/>
    </row>
    <row r="1058">
      <c r="A1058" s="137"/>
      <c r="B1058" s="136"/>
      <c r="C1058" s="136"/>
      <c r="D1058" s="136"/>
      <c r="E1058" s="137"/>
      <c r="F1058" s="137"/>
    </row>
    <row r="1059">
      <c r="A1059" s="137"/>
      <c r="B1059" s="136"/>
      <c r="C1059" s="136"/>
      <c r="D1059" s="136"/>
      <c r="E1059" s="137"/>
      <c r="F1059" s="137"/>
    </row>
    <row r="1060">
      <c r="A1060" s="137"/>
      <c r="B1060" s="136"/>
      <c r="C1060" s="136"/>
      <c r="D1060" s="136"/>
      <c r="E1060" s="137"/>
      <c r="F1060" s="137"/>
    </row>
    <row r="1061">
      <c r="A1061" s="137"/>
      <c r="B1061" s="136"/>
      <c r="C1061" s="136"/>
      <c r="D1061" s="136"/>
      <c r="E1061" s="137"/>
      <c r="F1061" s="137"/>
    </row>
    <row r="1062">
      <c r="A1062" s="137"/>
      <c r="B1062" s="136"/>
      <c r="C1062" s="136"/>
      <c r="D1062" s="136"/>
      <c r="E1062" s="137"/>
      <c r="F1062" s="137"/>
    </row>
    <row r="1063">
      <c r="A1063" s="137"/>
      <c r="B1063" s="136"/>
      <c r="C1063" s="136"/>
      <c r="D1063" s="136"/>
      <c r="E1063" s="137"/>
      <c r="F1063" s="137"/>
    </row>
    <row r="1064">
      <c r="A1064" s="137"/>
      <c r="B1064" s="136"/>
      <c r="C1064" s="136"/>
      <c r="D1064" s="136"/>
      <c r="E1064" s="137"/>
      <c r="F1064" s="137"/>
    </row>
    <row r="1065">
      <c r="A1065" s="137"/>
      <c r="B1065" s="136"/>
      <c r="C1065" s="136"/>
      <c r="D1065" s="136"/>
      <c r="E1065" s="137"/>
      <c r="F1065" s="137"/>
    </row>
    <row r="1066">
      <c r="A1066" s="137"/>
      <c r="B1066" s="136"/>
      <c r="C1066" s="136"/>
      <c r="D1066" s="136"/>
      <c r="E1066" s="137"/>
      <c r="F1066" s="137"/>
    </row>
    <row r="1067">
      <c r="A1067" s="137"/>
      <c r="B1067" s="136"/>
      <c r="C1067" s="136"/>
      <c r="D1067" s="136"/>
      <c r="E1067" s="137"/>
      <c r="F1067" s="137"/>
    </row>
    <row r="1068">
      <c r="A1068" s="137"/>
      <c r="B1068" s="136"/>
      <c r="C1068" s="136"/>
      <c r="D1068" s="136"/>
      <c r="E1068" s="137"/>
      <c r="F1068" s="137"/>
    </row>
    <row r="1069">
      <c r="A1069" s="137"/>
      <c r="B1069" s="136"/>
      <c r="C1069" s="136"/>
      <c r="D1069" s="136"/>
      <c r="E1069" s="137"/>
      <c r="F1069" s="137"/>
    </row>
    <row r="1070">
      <c r="A1070" s="137"/>
      <c r="B1070" s="136"/>
      <c r="C1070" s="136"/>
      <c r="D1070" s="136"/>
      <c r="E1070" s="137"/>
      <c r="F1070" s="137"/>
    </row>
    <row r="1071">
      <c r="A1071" s="137"/>
      <c r="B1071" s="136"/>
      <c r="C1071" s="136"/>
      <c r="D1071" s="136"/>
      <c r="E1071" s="137"/>
      <c r="F1071" s="137"/>
    </row>
    <row r="1072">
      <c r="A1072" s="137"/>
      <c r="B1072" s="136"/>
      <c r="C1072" s="136"/>
      <c r="D1072" s="136"/>
      <c r="E1072" s="137"/>
      <c r="F1072" s="137"/>
    </row>
    <row r="1073">
      <c r="A1073" s="137"/>
      <c r="B1073" s="136"/>
      <c r="C1073" s="136"/>
      <c r="D1073" s="136"/>
      <c r="E1073" s="137"/>
      <c r="F1073" s="137"/>
    </row>
    <row r="1074">
      <c r="A1074" s="137"/>
      <c r="B1074" s="136"/>
      <c r="C1074" s="136"/>
      <c r="D1074" s="136"/>
      <c r="E1074" s="137"/>
      <c r="F1074" s="137"/>
    </row>
    <row r="1075">
      <c r="A1075" s="137"/>
      <c r="B1075" s="136"/>
      <c r="C1075" s="136"/>
      <c r="D1075" s="136"/>
      <c r="E1075" s="137"/>
      <c r="F1075" s="137"/>
    </row>
    <row r="1076">
      <c r="A1076" s="137"/>
      <c r="B1076" s="136"/>
      <c r="C1076" s="136"/>
      <c r="D1076" s="136"/>
      <c r="E1076" s="137"/>
      <c r="F1076" s="137"/>
    </row>
    <row r="1077">
      <c r="A1077" s="137"/>
      <c r="B1077" s="136"/>
      <c r="C1077" s="136"/>
      <c r="D1077" s="136"/>
      <c r="E1077" s="137"/>
      <c r="F1077" s="137"/>
    </row>
    <row r="1078">
      <c r="A1078" s="137"/>
      <c r="B1078" s="136"/>
      <c r="C1078" s="136"/>
      <c r="D1078" s="136"/>
      <c r="E1078" s="137"/>
      <c r="F1078" s="137"/>
    </row>
    <row r="1079">
      <c r="A1079" s="137"/>
      <c r="B1079" s="136"/>
      <c r="C1079" s="136"/>
      <c r="D1079" s="136"/>
      <c r="E1079" s="137"/>
      <c r="F1079" s="137"/>
    </row>
    <row r="1080">
      <c r="A1080" s="137"/>
      <c r="B1080" s="136"/>
      <c r="C1080" s="136"/>
      <c r="D1080" s="136"/>
      <c r="E1080" s="137"/>
      <c r="F1080" s="137"/>
    </row>
    <row r="1081">
      <c r="A1081" s="137"/>
      <c r="B1081" s="136"/>
      <c r="C1081" s="136"/>
      <c r="D1081" s="136"/>
      <c r="E1081" s="137"/>
      <c r="F1081" s="137"/>
    </row>
    <row r="1082">
      <c r="A1082" s="137"/>
      <c r="B1082" s="136"/>
      <c r="C1082" s="136"/>
      <c r="D1082" s="136"/>
      <c r="E1082" s="137"/>
      <c r="F1082" s="137"/>
    </row>
    <row r="1083">
      <c r="A1083" s="137"/>
      <c r="B1083" s="136"/>
      <c r="C1083" s="136"/>
      <c r="D1083" s="136"/>
      <c r="E1083" s="137"/>
      <c r="F1083" s="137"/>
    </row>
    <row r="1084">
      <c r="A1084" s="137"/>
      <c r="B1084" s="136"/>
      <c r="C1084" s="136"/>
      <c r="D1084" s="136"/>
      <c r="E1084" s="137"/>
      <c r="F1084" s="137"/>
    </row>
    <row r="1085">
      <c r="A1085" s="137"/>
      <c r="B1085" s="136"/>
      <c r="C1085" s="136"/>
      <c r="D1085" s="136"/>
      <c r="E1085" s="137"/>
      <c r="F1085" s="137"/>
    </row>
    <row r="1086">
      <c r="A1086" s="137"/>
      <c r="B1086" s="136"/>
      <c r="C1086" s="136"/>
      <c r="D1086" s="136"/>
      <c r="E1086" s="137"/>
      <c r="F1086" s="137"/>
    </row>
    <row r="1087">
      <c r="A1087" s="137"/>
      <c r="B1087" s="136"/>
      <c r="C1087" s="136"/>
      <c r="D1087" s="136"/>
      <c r="E1087" s="137"/>
      <c r="F1087" s="137"/>
    </row>
    <row r="1088">
      <c r="A1088" s="137"/>
      <c r="B1088" s="136"/>
      <c r="C1088" s="136"/>
      <c r="D1088" s="136"/>
      <c r="E1088" s="137"/>
      <c r="F1088" s="137"/>
    </row>
    <row r="1089">
      <c r="A1089" s="137"/>
      <c r="B1089" s="136"/>
      <c r="C1089" s="136"/>
      <c r="D1089" s="136"/>
      <c r="E1089" s="137"/>
      <c r="F1089" s="137"/>
    </row>
    <row r="1090">
      <c r="A1090" s="137"/>
      <c r="B1090" s="136"/>
      <c r="C1090" s="136"/>
      <c r="D1090" s="136"/>
      <c r="E1090" s="137"/>
      <c r="F1090" s="137"/>
    </row>
    <row r="1091">
      <c r="A1091" s="137"/>
      <c r="B1091" s="136"/>
      <c r="C1091" s="136"/>
      <c r="D1091" s="136"/>
      <c r="E1091" s="137"/>
      <c r="F1091" s="137"/>
    </row>
    <row r="1092">
      <c r="A1092" s="137"/>
      <c r="B1092" s="136"/>
      <c r="C1092" s="136"/>
      <c r="D1092" s="136"/>
      <c r="E1092" s="137"/>
      <c r="F1092" s="137"/>
    </row>
    <row r="1093">
      <c r="A1093" s="137"/>
      <c r="B1093" s="136"/>
      <c r="C1093" s="136"/>
      <c r="D1093" s="136"/>
      <c r="E1093" s="137"/>
      <c r="F1093" s="137"/>
    </row>
    <row r="1094">
      <c r="A1094" s="137"/>
      <c r="B1094" s="136"/>
      <c r="C1094" s="136"/>
      <c r="D1094" s="136"/>
      <c r="E1094" s="137"/>
      <c r="F1094" s="137"/>
    </row>
    <row r="1095">
      <c r="A1095" s="137"/>
      <c r="B1095" s="136"/>
      <c r="C1095" s="136"/>
      <c r="D1095" s="136"/>
      <c r="E1095" s="137"/>
      <c r="F1095" s="137"/>
    </row>
    <row r="1096">
      <c r="A1096" s="137"/>
      <c r="B1096" s="136"/>
      <c r="C1096" s="136"/>
      <c r="D1096" s="136"/>
      <c r="E1096" s="137"/>
      <c r="F1096" s="137"/>
    </row>
    <row r="1097">
      <c r="A1097" s="137"/>
      <c r="B1097" s="136"/>
      <c r="C1097" s="136"/>
      <c r="D1097" s="136"/>
      <c r="E1097" s="137"/>
      <c r="F1097" s="137"/>
    </row>
    <row r="1098">
      <c r="A1098" s="137"/>
      <c r="B1098" s="136"/>
      <c r="C1098" s="136"/>
      <c r="D1098" s="136"/>
      <c r="E1098" s="137"/>
      <c r="F1098" s="137"/>
    </row>
    <row r="1099">
      <c r="A1099" s="137"/>
      <c r="B1099" s="136"/>
      <c r="C1099" s="136"/>
      <c r="D1099" s="136"/>
      <c r="E1099" s="137"/>
      <c r="F1099" s="137"/>
    </row>
    <row r="1100">
      <c r="A1100" s="137"/>
      <c r="B1100" s="136"/>
      <c r="C1100" s="136"/>
      <c r="D1100" s="136"/>
      <c r="E1100" s="137"/>
      <c r="F1100" s="137"/>
    </row>
    <row r="1101">
      <c r="A1101" s="137"/>
      <c r="B1101" s="136"/>
      <c r="C1101" s="136"/>
      <c r="D1101" s="136"/>
      <c r="E1101" s="137"/>
      <c r="F1101" s="137"/>
    </row>
    <row r="1102">
      <c r="A1102" s="137"/>
      <c r="B1102" s="136"/>
      <c r="C1102" s="136"/>
      <c r="D1102" s="136"/>
      <c r="E1102" s="137"/>
      <c r="F1102" s="137"/>
    </row>
    <row r="1103">
      <c r="A1103" s="137"/>
      <c r="B1103" s="136"/>
      <c r="C1103" s="136"/>
      <c r="D1103" s="136"/>
      <c r="E1103" s="137"/>
      <c r="F1103" s="137"/>
    </row>
    <row r="1104">
      <c r="A1104" s="137"/>
      <c r="B1104" s="136"/>
      <c r="C1104" s="136"/>
      <c r="D1104" s="136"/>
      <c r="E1104" s="137"/>
      <c r="F1104" s="137"/>
    </row>
    <row r="1105">
      <c r="A1105" s="137"/>
      <c r="B1105" s="136"/>
      <c r="C1105" s="136"/>
      <c r="D1105" s="136"/>
      <c r="E1105" s="137"/>
      <c r="F1105" s="137"/>
    </row>
    <row r="1106">
      <c r="A1106" s="137"/>
      <c r="B1106" s="136"/>
      <c r="C1106" s="136"/>
      <c r="D1106" s="136"/>
      <c r="E1106" s="137"/>
      <c r="F1106" s="137"/>
    </row>
    <row r="1107">
      <c r="A1107" s="137"/>
      <c r="B1107" s="136"/>
      <c r="C1107" s="136"/>
      <c r="D1107" s="136"/>
      <c r="E1107" s="137"/>
      <c r="F1107" s="137"/>
    </row>
    <row r="1108">
      <c r="A1108" s="137"/>
      <c r="B1108" s="136"/>
      <c r="C1108" s="136"/>
      <c r="D1108" s="136"/>
      <c r="E1108" s="137"/>
      <c r="F1108" s="137"/>
    </row>
    <row r="1109">
      <c r="A1109" s="137"/>
      <c r="B1109" s="136"/>
      <c r="C1109" s="136"/>
      <c r="D1109" s="136"/>
      <c r="E1109" s="137"/>
      <c r="F1109" s="137"/>
    </row>
    <row r="1110">
      <c r="A1110" s="137"/>
      <c r="B1110" s="136"/>
      <c r="C1110" s="136"/>
      <c r="D1110" s="136"/>
      <c r="E1110" s="137"/>
      <c r="F1110" s="137"/>
    </row>
    <row r="1111">
      <c r="A1111" s="137"/>
      <c r="B1111" s="136"/>
      <c r="C1111" s="136"/>
      <c r="D1111" s="136"/>
      <c r="E1111" s="137"/>
      <c r="F1111" s="137"/>
    </row>
    <row r="1112">
      <c r="A1112" s="137"/>
      <c r="B1112" s="136"/>
      <c r="C1112" s="136"/>
      <c r="D1112" s="136"/>
      <c r="E1112" s="137"/>
      <c r="F1112" s="137"/>
    </row>
    <row r="1113">
      <c r="A1113" s="137"/>
      <c r="B1113" s="136"/>
      <c r="C1113" s="136"/>
      <c r="D1113" s="136"/>
      <c r="E1113" s="137"/>
      <c r="F1113" s="137"/>
    </row>
    <row r="1114">
      <c r="A1114" s="137"/>
      <c r="B1114" s="136"/>
      <c r="C1114" s="136"/>
      <c r="D1114" s="136"/>
      <c r="E1114" s="137"/>
      <c r="F1114" s="137"/>
    </row>
    <row r="1115">
      <c r="A1115" s="137"/>
      <c r="B1115" s="136"/>
      <c r="C1115" s="136"/>
      <c r="D1115" s="136"/>
      <c r="E1115" s="137"/>
      <c r="F1115" s="137"/>
    </row>
    <row r="1116">
      <c r="A1116" s="137"/>
      <c r="B1116" s="136"/>
      <c r="C1116" s="136"/>
      <c r="D1116" s="136"/>
      <c r="E1116" s="137"/>
      <c r="F1116" s="137"/>
    </row>
    <row r="1117">
      <c r="A1117" s="137"/>
      <c r="B1117" s="136"/>
      <c r="C1117" s="136"/>
      <c r="D1117" s="136"/>
      <c r="E1117" s="137"/>
      <c r="F1117" s="137"/>
    </row>
    <row r="1118">
      <c r="A1118" s="137"/>
      <c r="B1118" s="136"/>
      <c r="C1118" s="136"/>
      <c r="D1118" s="136"/>
      <c r="E1118" s="137"/>
      <c r="F1118" s="137"/>
    </row>
    <row r="1119">
      <c r="A1119" s="137"/>
      <c r="B1119" s="136"/>
      <c r="C1119" s="136"/>
      <c r="D1119" s="136"/>
      <c r="E1119" s="137"/>
      <c r="F1119" s="137"/>
    </row>
    <row r="1120">
      <c r="A1120" s="137"/>
      <c r="B1120" s="136"/>
      <c r="C1120" s="136"/>
      <c r="D1120" s="136"/>
      <c r="E1120" s="137"/>
      <c r="F1120" s="137"/>
    </row>
    <row r="1121">
      <c r="A1121" s="137"/>
      <c r="B1121" s="136"/>
      <c r="C1121" s="136"/>
      <c r="D1121" s="136"/>
      <c r="E1121" s="137"/>
      <c r="F1121" s="137"/>
    </row>
    <row r="1122">
      <c r="A1122" s="137"/>
      <c r="B1122" s="136"/>
      <c r="C1122" s="136"/>
      <c r="D1122" s="136"/>
      <c r="E1122" s="137"/>
      <c r="F1122" s="137"/>
    </row>
    <row r="1123">
      <c r="A1123" s="137"/>
      <c r="B1123" s="136"/>
      <c r="C1123" s="136"/>
      <c r="D1123" s="136"/>
      <c r="E1123" s="137"/>
      <c r="F1123" s="137"/>
    </row>
    <row r="1124">
      <c r="A1124" s="137"/>
      <c r="B1124" s="136"/>
      <c r="C1124" s="136"/>
      <c r="D1124" s="136"/>
      <c r="E1124" s="137"/>
      <c r="F1124" s="137"/>
    </row>
    <row r="1125">
      <c r="A1125" s="137"/>
      <c r="B1125" s="136"/>
      <c r="C1125" s="136"/>
      <c r="D1125" s="136"/>
      <c r="E1125" s="137"/>
      <c r="F1125" s="137"/>
    </row>
    <row r="1126">
      <c r="A1126" s="137"/>
      <c r="B1126" s="136"/>
      <c r="C1126" s="136"/>
      <c r="D1126" s="136"/>
      <c r="E1126" s="137"/>
      <c r="F1126" s="137"/>
    </row>
    <row r="1127">
      <c r="A1127" s="137"/>
      <c r="B1127" s="136"/>
      <c r="C1127" s="136"/>
      <c r="D1127" s="136"/>
      <c r="E1127" s="137"/>
      <c r="F1127" s="137"/>
    </row>
    <row r="1128">
      <c r="A1128" s="137"/>
      <c r="B1128" s="136"/>
      <c r="C1128" s="136"/>
      <c r="D1128" s="136"/>
      <c r="E1128" s="137"/>
      <c r="F1128" s="137"/>
    </row>
    <row r="1129">
      <c r="A1129" s="137"/>
      <c r="B1129" s="136"/>
      <c r="C1129" s="136"/>
      <c r="D1129" s="136"/>
      <c r="E1129" s="137"/>
      <c r="F1129" s="137"/>
    </row>
    <row r="1130">
      <c r="A1130" s="137"/>
      <c r="B1130" s="136"/>
      <c r="C1130" s="136"/>
      <c r="D1130" s="136"/>
      <c r="E1130" s="137"/>
      <c r="F1130" s="137"/>
    </row>
    <row r="1131">
      <c r="A1131" s="137"/>
      <c r="B1131" s="136"/>
      <c r="C1131" s="136"/>
      <c r="D1131" s="136"/>
      <c r="E1131" s="137"/>
      <c r="F1131" s="137"/>
    </row>
    <row r="1132">
      <c r="A1132" s="137"/>
      <c r="B1132" s="136"/>
      <c r="C1132" s="136"/>
      <c r="D1132" s="136"/>
      <c r="E1132" s="137"/>
      <c r="F1132" s="137"/>
    </row>
    <row r="1133">
      <c r="A1133" s="137"/>
      <c r="B1133" s="136"/>
      <c r="C1133" s="136"/>
      <c r="D1133" s="136"/>
      <c r="E1133" s="137"/>
      <c r="F1133" s="137"/>
    </row>
    <row r="1134">
      <c r="A1134" s="137"/>
      <c r="B1134" s="136"/>
      <c r="C1134" s="136"/>
      <c r="D1134" s="136"/>
      <c r="E1134" s="137"/>
      <c r="F1134" s="137"/>
    </row>
    <row r="1135">
      <c r="A1135" s="137"/>
      <c r="B1135" s="136"/>
      <c r="C1135" s="136"/>
      <c r="D1135" s="136"/>
      <c r="E1135" s="137"/>
      <c r="F1135" s="137"/>
    </row>
    <row r="1136">
      <c r="A1136" s="137"/>
      <c r="B1136" s="136"/>
      <c r="C1136" s="136"/>
      <c r="D1136" s="136"/>
      <c r="E1136" s="137"/>
      <c r="F1136" s="137"/>
    </row>
    <row r="1137">
      <c r="A1137" s="137"/>
      <c r="B1137" s="136"/>
      <c r="C1137" s="136"/>
      <c r="D1137" s="136"/>
      <c r="E1137" s="137"/>
      <c r="F1137" s="137"/>
    </row>
    <row r="1138">
      <c r="A1138" s="137"/>
      <c r="B1138" s="136"/>
      <c r="C1138" s="136"/>
      <c r="D1138" s="136"/>
      <c r="E1138" s="137"/>
      <c r="F1138" s="137"/>
    </row>
    <row r="1139">
      <c r="A1139" s="137"/>
      <c r="B1139" s="136"/>
      <c r="C1139" s="136"/>
      <c r="D1139" s="136"/>
      <c r="E1139" s="137"/>
      <c r="F1139" s="137"/>
    </row>
    <row r="1140">
      <c r="A1140" s="137"/>
      <c r="B1140" s="136"/>
      <c r="C1140" s="136"/>
      <c r="D1140" s="136"/>
      <c r="E1140" s="137"/>
      <c r="F1140" s="137"/>
    </row>
    <row r="1141">
      <c r="A1141" s="137"/>
      <c r="B1141" s="136"/>
      <c r="C1141" s="136"/>
      <c r="D1141" s="136"/>
      <c r="E1141" s="137"/>
      <c r="F1141" s="137"/>
    </row>
    <row r="1142">
      <c r="A1142" s="137"/>
      <c r="B1142" s="136"/>
      <c r="C1142" s="136"/>
      <c r="D1142" s="136"/>
      <c r="E1142" s="137"/>
      <c r="F1142" s="137"/>
    </row>
    <row r="1143">
      <c r="A1143" s="137"/>
      <c r="B1143" s="136"/>
      <c r="C1143" s="136"/>
      <c r="D1143" s="136"/>
      <c r="E1143" s="137"/>
      <c r="F1143" s="137"/>
    </row>
    <row r="1144">
      <c r="A1144" s="137"/>
      <c r="B1144" s="136"/>
      <c r="C1144" s="136"/>
      <c r="D1144" s="136"/>
      <c r="E1144" s="137"/>
      <c r="F1144" s="137"/>
    </row>
    <row r="1145">
      <c r="A1145" s="137"/>
      <c r="B1145" s="136"/>
      <c r="C1145" s="136"/>
      <c r="D1145" s="136"/>
      <c r="E1145" s="137"/>
      <c r="F1145" s="137"/>
    </row>
    <row r="1146">
      <c r="A1146" s="137"/>
      <c r="B1146" s="136"/>
      <c r="C1146" s="136"/>
      <c r="D1146" s="136"/>
      <c r="E1146" s="137"/>
      <c r="F1146" s="137"/>
    </row>
    <row r="1147">
      <c r="A1147" s="137"/>
      <c r="B1147" s="136"/>
      <c r="C1147" s="136"/>
      <c r="D1147" s="136"/>
      <c r="E1147" s="137"/>
      <c r="F1147" s="137"/>
    </row>
    <row r="1148">
      <c r="A1148" s="137"/>
      <c r="B1148" s="136"/>
      <c r="C1148" s="136"/>
      <c r="D1148" s="136"/>
      <c r="E1148" s="137"/>
      <c r="F1148" s="137"/>
    </row>
    <row r="1149">
      <c r="A1149" s="137"/>
      <c r="B1149" s="136"/>
      <c r="C1149" s="136"/>
      <c r="D1149" s="136"/>
      <c r="E1149" s="137"/>
      <c r="F1149" s="137"/>
    </row>
    <row r="1150">
      <c r="A1150" s="137"/>
      <c r="B1150" s="136"/>
      <c r="C1150" s="136"/>
      <c r="D1150" s="136"/>
      <c r="E1150" s="137"/>
      <c r="F1150" s="137"/>
    </row>
    <row r="1151">
      <c r="A1151" s="137"/>
      <c r="B1151" s="136"/>
      <c r="C1151" s="136"/>
      <c r="D1151" s="136"/>
      <c r="E1151" s="137"/>
      <c r="F1151" s="137"/>
    </row>
    <row r="1152">
      <c r="A1152" s="137"/>
      <c r="B1152" s="136"/>
      <c r="C1152" s="136"/>
      <c r="D1152" s="136"/>
      <c r="E1152" s="137"/>
      <c r="F1152" s="137"/>
    </row>
    <row r="1153">
      <c r="A1153" s="137"/>
      <c r="B1153" s="136"/>
      <c r="C1153" s="136"/>
      <c r="D1153" s="136"/>
      <c r="E1153" s="137"/>
      <c r="F1153" s="137"/>
    </row>
    <row r="1154">
      <c r="A1154" s="137"/>
      <c r="B1154" s="136"/>
      <c r="C1154" s="136"/>
      <c r="D1154" s="136"/>
      <c r="E1154" s="137"/>
      <c r="F1154" s="137"/>
    </row>
    <row r="1155">
      <c r="A1155" s="137"/>
      <c r="B1155" s="136"/>
      <c r="C1155" s="136"/>
      <c r="D1155" s="136"/>
      <c r="E1155" s="137"/>
      <c r="F1155" s="137"/>
    </row>
    <row r="1156">
      <c r="A1156" s="137"/>
      <c r="B1156" s="136"/>
      <c r="C1156" s="136"/>
      <c r="D1156" s="136"/>
      <c r="E1156" s="137"/>
      <c r="F1156" s="137"/>
    </row>
    <row r="1157">
      <c r="A1157" s="137"/>
      <c r="B1157" s="136"/>
      <c r="C1157" s="136"/>
      <c r="D1157" s="136"/>
      <c r="E1157" s="137"/>
      <c r="F1157" s="137"/>
    </row>
    <row r="1158">
      <c r="A1158" s="137"/>
      <c r="B1158" s="136"/>
      <c r="C1158" s="136"/>
      <c r="D1158" s="136"/>
      <c r="E1158" s="137"/>
      <c r="F1158" s="137"/>
    </row>
    <row r="1159">
      <c r="A1159" s="137"/>
      <c r="B1159" s="136"/>
      <c r="C1159" s="136"/>
      <c r="D1159" s="136"/>
      <c r="E1159" s="137"/>
      <c r="F1159" s="137"/>
    </row>
    <row r="1160">
      <c r="A1160" s="137"/>
      <c r="B1160" s="136"/>
      <c r="C1160" s="136"/>
      <c r="D1160" s="136"/>
      <c r="E1160" s="137"/>
      <c r="F1160" s="137"/>
    </row>
    <row r="1161">
      <c r="A1161" s="137"/>
      <c r="B1161" s="136"/>
      <c r="C1161" s="136"/>
      <c r="D1161" s="136"/>
      <c r="E1161" s="137"/>
      <c r="F1161" s="137"/>
    </row>
    <row r="1162">
      <c r="A1162" s="137"/>
      <c r="B1162" s="136"/>
      <c r="C1162" s="136"/>
      <c r="D1162" s="136"/>
      <c r="E1162" s="137"/>
      <c r="F1162" s="137"/>
    </row>
    <row r="1163">
      <c r="A1163" s="137"/>
      <c r="B1163" s="136"/>
      <c r="C1163" s="136"/>
      <c r="D1163" s="136"/>
      <c r="E1163" s="137"/>
      <c r="F1163" s="137"/>
    </row>
    <row r="1164">
      <c r="A1164" s="137"/>
      <c r="B1164" s="136"/>
      <c r="C1164" s="136"/>
      <c r="D1164" s="136"/>
      <c r="E1164" s="137"/>
      <c r="F1164" s="137"/>
    </row>
    <row r="1165">
      <c r="A1165" s="137"/>
      <c r="B1165" s="136"/>
      <c r="C1165" s="136"/>
      <c r="D1165" s="136"/>
      <c r="E1165" s="137"/>
      <c r="F1165" s="137"/>
    </row>
    <row r="1166">
      <c r="A1166" s="137"/>
      <c r="B1166" s="136"/>
      <c r="C1166" s="136"/>
      <c r="D1166" s="136"/>
      <c r="E1166" s="137"/>
      <c r="F1166" s="137"/>
    </row>
    <row r="1167">
      <c r="A1167" s="137"/>
      <c r="B1167" s="136"/>
      <c r="C1167" s="136"/>
      <c r="D1167" s="136"/>
      <c r="E1167" s="137"/>
      <c r="F1167" s="137"/>
    </row>
    <row r="1168">
      <c r="A1168" s="137"/>
      <c r="B1168" s="136"/>
      <c r="C1168" s="136"/>
      <c r="D1168" s="136"/>
      <c r="E1168" s="137"/>
      <c r="F1168" s="137"/>
    </row>
    <row r="1169">
      <c r="A1169" s="137"/>
      <c r="B1169" s="136"/>
      <c r="C1169" s="136"/>
      <c r="D1169" s="136"/>
      <c r="E1169" s="137"/>
      <c r="F1169" s="137"/>
    </row>
    <row r="1170">
      <c r="A1170" s="137"/>
      <c r="B1170" s="136"/>
      <c r="C1170" s="136"/>
      <c r="D1170" s="136"/>
      <c r="E1170" s="137"/>
      <c r="F1170" s="137"/>
    </row>
    <row r="1171">
      <c r="A1171" s="137"/>
      <c r="B1171" s="136"/>
      <c r="C1171" s="136"/>
      <c r="D1171" s="136"/>
      <c r="E1171" s="137"/>
      <c r="F1171" s="137"/>
    </row>
    <row r="1172">
      <c r="A1172" s="137"/>
      <c r="B1172" s="136"/>
      <c r="C1172" s="136"/>
      <c r="D1172" s="136"/>
      <c r="E1172" s="137"/>
      <c r="F1172" s="137"/>
    </row>
    <row r="1173">
      <c r="A1173" s="137"/>
      <c r="B1173" s="136"/>
      <c r="C1173" s="136"/>
      <c r="D1173" s="136"/>
      <c r="E1173" s="137"/>
      <c r="F1173" s="137"/>
    </row>
    <row r="1174">
      <c r="A1174" s="137"/>
      <c r="B1174" s="136"/>
      <c r="C1174" s="136"/>
      <c r="D1174" s="136"/>
      <c r="E1174" s="137"/>
      <c r="F1174" s="137"/>
    </row>
    <row r="1175">
      <c r="A1175" s="137"/>
      <c r="B1175" s="136"/>
      <c r="C1175" s="136"/>
      <c r="D1175" s="136"/>
      <c r="E1175" s="137"/>
      <c r="F1175" s="137"/>
    </row>
    <row r="1176">
      <c r="A1176" s="137"/>
      <c r="B1176" s="136"/>
      <c r="C1176" s="136"/>
      <c r="D1176" s="136"/>
      <c r="E1176" s="137"/>
      <c r="F1176" s="137"/>
    </row>
    <row r="1177">
      <c r="A1177" s="137"/>
      <c r="B1177" s="136"/>
      <c r="C1177" s="136"/>
      <c r="D1177" s="136"/>
      <c r="E1177" s="137"/>
      <c r="F1177" s="137"/>
    </row>
    <row r="1178">
      <c r="A1178" s="137"/>
      <c r="B1178" s="136"/>
      <c r="C1178" s="136"/>
      <c r="D1178" s="136"/>
      <c r="E1178" s="137"/>
      <c r="F1178" s="137"/>
    </row>
    <row r="1179">
      <c r="A1179" s="137"/>
      <c r="B1179" s="136"/>
      <c r="C1179" s="136"/>
      <c r="D1179" s="136"/>
      <c r="E1179" s="137"/>
      <c r="F1179" s="137"/>
    </row>
    <row r="1180">
      <c r="A1180" s="137"/>
      <c r="B1180" s="136"/>
      <c r="C1180" s="136"/>
      <c r="D1180" s="136"/>
      <c r="E1180" s="137"/>
      <c r="F1180" s="137"/>
    </row>
    <row r="1181">
      <c r="A1181" s="137"/>
      <c r="B1181" s="136"/>
      <c r="C1181" s="136"/>
      <c r="D1181" s="136"/>
      <c r="E1181" s="137"/>
      <c r="F1181" s="137"/>
    </row>
    <row r="1182">
      <c r="A1182" s="137"/>
      <c r="B1182" s="136"/>
      <c r="C1182" s="136"/>
      <c r="D1182" s="136"/>
      <c r="E1182" s="137"/>
      <c r="F1182" s="137"/>
    </row>
    <row r="1183">
      <c r="A1183" s="137"/>
      <c r="B1183" s="136"/>
      <c r="C1183" s="136"/>
      <c r="D1183" s="136"/>
      <c r="E1183" s="137"/>
      <c r="F1183" s="137"/>
    </row>
    <row r="1184">
      <c r="A1184" s="137"/>
      <c r="B1184" s="136"/>
      <c r="C1184" s="136"/>
      <c r="D1184" s="136"/>
      <c r="E1184" s="137"/>
      <c r="F1184" s="137"/>
    </row>
    <row r="1185">
      <c r="A1185" s="137"/>
      <c r="B1185" s="136"/>
      <c r="C1185" s="136"/>
      <c r="D1185" s="136"/>
      <c r="E1185" s="137"/>
      <c r="F1185" s="137"/>
    </row>
    <row r="1186">
      <c r="A1186" s="137"/>
      <c r="B1186" s="136"/>
      <c r="C1186" s="136"/>
      <c r="D1186" s="136"/>
      <c r="E1186" s="137"/>
      <c r="F1186" s="137"/>
    </row>
    <row r="1187">
      <c r="A1187" s="137"/>
      <c r="B1187" s="136"/>
      <c r="C1187" s="136"/>
      <c r="D1187" s="136"/>
      <c r="E1187" s="137"/>
      <c r="F1187" s="137"/>
    </row>
    <row r="1188">
      <c r="A1188" s="137"/>
      <c r="B1188" s="136"/>
      <c r="C1188" s="136"/>
      <c r="D1188" s="136"/>
      <c r="E1188" s="137"/>
      <c r="F1188" s="137"/>
    </row>
    <row r="1189">
      <c r="A1189" s="137"/>
      <c r="B1189" s="136"/>
      <c r="C1189" s="136"/>
      <c r="D1189" s="136"/>
      <c r="E1189" s="137"/>
      <c r="F1189" s="137"/>
    </row>
    <row r="1190">
      <c r="A1190" s="137"/>
      <c r="B1190" s="136"/>
      <c r="C1190" s="136"/>
      <c r="D1190" s="136"/>
      <c r="E1190" s="137"/>
      <c r="F1190" s="137"/>
    </row>
    <row r="1191">
      <c r="A1191" s="137"/>
      <c r="B1191" s="136"/>
      <c r="C1191" s="136"/>
      <c r="D1191" s="136"/>
      <c r="E1191" s="137"/>
      <c r="F1191" s="137"/>
    </row>
    <row r="1192">
      <c r="A1192" s="137"/>
      <c r="B1192" s="136"/>
      <c r="C1192" s="136"/>
      <c r="D1192" s="136"/>
      <c r="E1192" s="137"/>
      <c r="F1192" s="137"/>
    </row>
    <row r="1193">
      <c r="A1193" s="137"/>
      <c r="B1193" s="136"/>
      <c r="C1193" s="136"/>
      <c r="D1193" s="136"/>
      <c r="E1193" s="137"/>
      <c r="F1193" s="137"/>
    </row>
    <row r="1194">
      <c r="A1194" s="137"/>
      <c r="B1194" s="136"/>
      <c r="C1194" s="136"/>
      <c r="D1194" s="136"/>
      <c r="E1194" s="137"/>
      <c r="F1194" s="137"/>
    </row>
    <row r="1195">
      <c r="A1195" s="137"/>
      <c r="B1195" s="136"/>
      <c r="C1195" s="136"/>
      <c r="D1195" s="136"/>
      <c r="E1195" s="137"/>
      <c r="F1195" s="137"/>
    </row>
    <row r="1196">
      <c r="A1196" s="137"/>
      <c r="B1196" s="136"/>
      <c r="C1196" s="136"/>
      <c r="D1196" s="136"/>
      <c r="E1196" s="137"/>
      <c r="F1196" s="137"/>
    </row>
    <row r="1197">
      <c r="A1197" s="137"/>
      <c r="B1197" s="136"/>
      <c r="C1197" s="136"/>
      <c r="D1197" s="136"/>
      <c r="E1197" s="137"/>
      <c r="F1197" s="137"/>
    </row>
    <row r="1198">
      <c r="A1198" s="137"/>
      <c r="B1198" s="136"/>
      <c r="C1198" s="136"/>
      <c r="D1198" s="136"/>
      <c r="E1198" s="137"/>
      <c r="F1198" s="137"/>
    </row>
    <row r="1199">
      <c r="A1199" s="137"/>
      <c r="B1199" s="136"/>
      <c r="C1199" s="136"/>
      <c r="D1199" s="136"/>
      <c r="E1199" s="137"/>
      <c r="F1199" s="137"/>
    </row>
    <row r="1200">
      <c r="A1200" s="137"/>
      <c r="B1200" s="136"/>
      <c r="C1200" s="136"/>
      <c r="D1200" s="136"/>
      <c r="E1200" s="137"/>
      <c r="F1200" s="137"/>
    </row>
    <row r="1201">
      <c r="A1201" s="137"/>
      <c r="B1201" s="136"/>
      <c r="C1201" s="136"/>
      <c r="D1201" s="136"/>
      <c r="E1201" s="137"/>
      <c r="F1201" s="137"/>
    </row>
    <row r="1202">
      <c r="A1202" s="137"/>
      <c r="B1202" s="136"/>
      <c r="C1202" s="136"/>
      <c r="D1202" s="136"/>
      <c r="E1202" s="137"/>
      <c r="F1202" s="137"/>
    </row>
    <row r="1203">
      <c r="A1203" s="137"/>
      <c r="B1203" s="136"/>
      <c r="C1203" s="136"/>
      <c r="D1203" s="136"/>
      <c r="E1203" s="137"/>
      <c r="F1203" s="137"/>
    </row>
    <row r="1204">
      <c r="A1204" s="137"/>
      <c r="B1204" s="136"/>
      <c r="C1204" s="136"/>
      <c r="D1204" s="136"/>
      <c r="E1204" s="137"/>
      <c r="F1204" s="137"/>
    </row>
    <row r="1205">
      <c r="A1205" s="137"/>
      <c r="B1205" s="136"/>
      <c r="C1205" s="136"/>
      <c r="D1205" s="136"/>
      <c r="E1205" s="137"/>
      <c r="F1205" s="137"/>
    </row>
    <row r="1206">
      <c r="A1206" s="137"/>
      <c r="B1206" s="136"/>
      <c r="C1206" s="136"/>
      <c r="D1206" s="136"/>
      <c r="E1206" s="137"/>
      <c r="F1206" s="137"/>
    </row>
    <row r="1207">
      <c r="A1207" s="137"/>
      <c r="B1207" s="136"/>
      <c r="C1207" s="136"/>
      <c r="D1207" s="136"/>
      <c r="E1207" s="137"/>
      <c r="F1207" s="137"/>
    </row>
    <row r="1208">
      <c r="A1208" s="137"/>
      <c r="B1208" s="136"/>
      <c r="C1208" s="136"/>
      <c r="D1208" s="136"/>
      <c r="E1208" s="137"/>
      <c r="F1208" s="137"/>
    </row>
    <row r="1209">
      <c r="A1209" s="137"/>
      <c r="B1209" s="136"/>
      <c r="C1209" s="136"/>
      <c r="D1209" s="136"/>
      <c r="E1209" s="137"/>
      <c r="F1209" s="137"/>
    </row>
    <row r="1210">
      <c r="A1210" s="137"/>
      <c r="B1210" s="136"/>
      <c r="C1210" s="136"/>
      <c r="D1210" s="136"/>
      <c r="E1210" s="137"/>
      <c r="F1210" s="137"/>
    </row>
    <row r="1211">
      <c r="A1211" s="137"/>
      <c r="B1211" s="136"/>
      <c r="C1211" s="136"/>
      <c r="D1211" s="136"/>
      <c r="E1211" s="137"/>
      <c r="F1211" s="137"/>
    </row>
    <row r="1212">
      <c r="A1212" s="137"/>
      <c r="B1212" s="136"/>
      <c r="C1212" s="136"/>
      <c r="D1212" s="136"/>
      <c r="E1212" s="137"/>
      <c r="F1212" s="137"/>
    </row>
    <row r="1213">
      <c r="A1213" s="137"/>
      <c r="B1213" s="136"/>
      <c r="C1213" s="136"/>
      <c r="D1213" s="136"/>
      <c r="E1213" s="137"/>
      <c r="F1213" s="137"/>
    </row>
    <row r="1214">
      <c r="A1214" s="137"/>
      <c r="B1214" s="136"/>
      <c r="C1214" s="136"/>
      <c r="D1214" s="136"/>
      <c r="E1214" s="137"/>
      <c r="F1214" s="137"/>
    </row>
    <row r="1215">
      <c r="A1215" s="137"/>
      <c r="B1215" s="136"/>
      <c r="C1215" s="136"/>
      <c r="D1215" s="136"/>
      <c r="E1215" s="137"/>
      <c r="F1215" s="137"/>
    </row>
    <row r="1216">
      <c r="A1216" s="137"/>
      <c r="B1216" s="136"/>
      <c r="C1216" s="136"/>
      <c r="D1216" s="136"/>
      <c r="E1216" s="137"/>
      <c r="F1216" s="137"/>
    </row>
    <row r="1217">
      <c r="A1217" s="137"/>
      <c r="B1217" s="136"/>
      <c r="C1217" s="136"/>
      <c r="D1217" s="136"/>
      <c r="E1217" s="137"/>
      <c r="F1217" s="137"/>
    </row>
    <row r="1218">
      <c r="A1218" s="137"/>
      <c r="B1218" s="136"/>
      <c r="C1218" s="136"/>
      <c r="D1218" s="136"/>
      <c r="E1218" s="137"/>
      <c r="F1218" s="137"/>
    </row>
    <row r="1219">
      <c r="A1219" s="137"/>
      <c r="B1219" s="136"/>
      <c r="C1219" s="136"/>
      <c r="D1219" s="136"/>
      <c r="E1219" s="137"/>
      <c r="F1219" s="137"/>
    </row>
    <row r="1220">
      <c r="A1220" s="137"/>
      <c r="B1220" s="136"/>
      <c r="C1220" s="136"/>
      <c r="D1220" s="136"/>
      <c r="E1220" s="137"/>
      <c r="F1220" s="137"/>
    </row>
    <row r="1221">
      <c r="A1221" s="137"/>
      <c r="B1221" s="136"/>
      <c r="C1221" s="136"/>
      <c r="D1221" s="136"/>
      <c r="E1221" s="137"/>
      <c r="F1221" s="137"/>
    </row>
    <row r="1222">
      <c r="A1222" s="137"/>
      <c r="B1222" s="136"/>
      <c r="C1222" s="136"/>
      <c r="D1222" s="136"/>
      <c r="E1222" s="137"/>
      <c r="F1222" s="137"/>
    </row>
    <row r="1223">
      <c r="A1223" s="137"/>
      <c r="B1223" s="136"/>
      <c r="C1223" s="136"/>
      <c r="D1223" s="136"/>
      <c r="E1223" s="137"/>
      <c r="F1223" s="137"/>
    </row>
    <row r="1224">
      <c r="A1224" s="137"/>
      <c r="B1224" s="136"/>
      <c r="C1224" s="136"/>
      <c r="D1224" s="136"/>
      <c r="E1224" s="137"/>
      <c r="F1224" s="137"/>
    </row>
    <row r="1225">
      <c r="A1225" s="137"/>
      <c r="B1225" s="136"/>
      <c r="C1225" s="136"/>
      <c r="D1225" s="136"/>
      <c r="E1225" s="137"/>
      <c r="F1225" s="137"/>
    </row>
    <row r="1226">
      <c r="A1226" s="137"/>
      <c r="B1226" s="136"/>
      <c r="C1226" s="136"/>
      <c r="D1226" s="136"/>
      <c r="E1226" s="137"/>
      <c r="F1226" s="137"/>
    </row>
    <row r="1227">
      <c r="A1227" s="137"/>
      <c r="B1227" s="136"/>
      <c r="C1227" s="136"/>
      <c r="D1227" s="136"/>
      <c r="E1227" s="137"/>
      <c r="F1227" s="137"/>
    </row>
    <row r="1228">
      <c r="A1228" s="137"/>
      <c r="B1228" s="136"/>
      <c r="C1228" s="136"/>
      <c r="D1228" s="136"/>
      <c r="E1228" s="137"/>
      <c r="F1228" s="137"/>
    </row>
    <row r="1229">
      <c r="A1229" s="137"/>
      <c r="B1229" s="136"/>
      <c r="C1229" s="136"/>
      <c r="D1229" s="136"/>
      <c r="E1229" s="137"/>
      <c r="F1229" s="137"/>
    </row>
    <row r="1230">
      <c r="A1230" s="137"/>
      <c r="B1230" s="136"/>
      <c r="C1230" s="136"/>
      <c r="D1230" s="136"/>
      <c r="E1230" s="137"/>
      <c r="F1230" s="137"/>
    </row>
    <row r="1231">
      <c r="A1231" s="137"/>
      <c r="B1231" s="136"/>
      <c r="C1231" s="136"/>
      <c r="D1231" s="136"/>
      <c r="E1231" s="137"/>
      <c r="F1231" s="137"/>
    </row>
    <row r="1232">
      <c r="A1232" s="137"/>
      <c r="B1232" s="136"/>
      <c r="C1232" s="136"/>
      <c r="D1232" s="136"/>
      <c r="E1232" s="137"/>
      <c r="F1232" s="137"/>
    </row>
    <row r="1233">
      <c r="A1233" s="137"/>
      <c r="B1233" s="136"/>
      <c r="C1233" s="136"/>
      <c r="D1233" s="136"/>
      <c r="E1233" s="137"/>
      <c r="F1233" s="137"/>
    </row>
    <row r="1234">
      <c r="A1234" s="137"/>
      <c r="B1234" s="136"/>
      <c r="C1234" s="136"/>
      <c r="D1234" s="136"/>
      <c r="E1234" s="137"/>
      <c r="F1234" s="137"/>
    </row>
    <row r="1235">
      <c r="A1235" s="137"/>
      <c r="B1235" s="136"/>
      <c r="C1235" s="136"/>
      <c r="D1235" s="136"/>
      <c r="E1235" s="137"/>
      <c r="F1235" s="137"/>
    </row>
    <row r="1236">
      <c r="A1236" s="137"/>
      <c r="B1236" s="136"/>
      <c r="C1236" s="136"/>
      <c r="D1236" s="136"/>
      <c r="E1236" s="137"/>
      <c r="F1236" s="137"/>
    </row>
    <row r="1237">
      <c r="A1237" s="137"/>
      <c r="B1237" s="136"/>
      <c r="C1237" s="136"/>
      <c r="D1237" s="136"/>
      <c r="E1237" s="137"/>
      <c r="F1237" s="137"/>
    </row>
    <row r="1238">
      <c r="A1238" s="137"/>
      <c r="B1238" s="136"/>
      <c r="C1238" s="136"/>
      <c r="D1238" s="136"/>
      <c r="E1238" s="137"/>
      <c r="F1238" s="137"/>
    </row>
    <row r="1239">
      <c r="A1239" s="137"/>
      <c r="B1239" s="136"/>
      <c r="C1239" s="136"/>
      <c r="D1239" s="136"/>
      <c r="E1239" s="137"/>
      <c r="F1239" s="137"/>
    </row>
    <row r="1240">
      <c r="A1240" s="137"/>
      <c r="B1240" s="136"/>
      <c r="C1240" s="136"/>
      <c r="D1240" s="136"/>
      <c r="E1240" s="137"/>
      <c r="F1240" s="137"/>
    </row>
    <row r="1241">
      <c r="A1241" s="137"/>
      <c r="B1241" s="136"/>
      <c r="C1241" s="136"/>
      <c r="D1241" s="136"/>
      <c r="E1241" s="137"/>
      <c r="F1241" s="137"/>
    </row>
    <row r="1242">
      <c r="A1242" s="137"/>
      <c r="B1242" s="136"/>
      <c r="C1242" s="136"/>
      <c r="D1242" s="136"/>
      <c r="E1242" s="137"/>
      <c r="F1242" s="137"/>
    </row>
    <row r="1243">
      <c r="A1243" s="137"/>
      <c r="B1243" s="136"/>
      <c r="C1243" s="136"/>
      <c r="D1243" s="136"/>
      <c r="E1243" s="137"/>
      <c r="F1243" s="137"/>
    </row>
    <row r="1244">
      <c r="A1244" s="137"/>
      <c r="B1244" s="136"/>
      <c r="C1244" s="136"/>
      <c r="D1244" s="136"/>
      <c r="E1244" s="137"/>
      <c r="F1244" s="137"/>
    </row>
    <row r="1245">
      <c r="A1245" s="137"/>
      <c r="B1245" s="136"/>
      <c r="C1245" s="136"/>
      <c r="D1245" s="136"/>
      <c r="E1245" s="137"/>
      <c r="F1245" s="137"/>
    </row>
    <row r="1246">
      <c r="A1246" s="137"/>
      <c r="B1246" s="136"/>
      <c r="C1246" s="136"/>
      <c r="D1246" s="136"/>
      <c r="E1246" s="137"/>
      <c r="F1246" s="137"/>
    </row>
    <row r="1247">
      <c r="A1247" s="137"/>
      <c r="B1247" s="136"/>
      <c r="C1247" s="136"/>
      <c r="D1247" s="136"/>
      <c r="E1247" s="137"/>
      <c r="F1247" s="137"/>
    </row>
    <row r="1248">
      <c r="A1248" s="137"/>
      <c r="B1248" s="136"/>
      <c r="C1248" s="136"/>
      <c r="D1248" s="136"/>
      <c r="E1248" s="137"/>
      <c r="F1248" s="137"/>
    </row>
    <row r="1249">
      <c r="A1249" s="137"/>
      <c r="B1249" s="136"/>
      <c r="C1249" s="136"/>
      <c r="D1249" s="136"/>
      <c r="E1249" s="137"/>
      <c r="F1249" s="137"/>
    </row>
    <row r="1250">
      <c r="A1250" s="137"/>
      <c r="B1250" s="136"/>
      <c r="C1250" s="136"/>
      <c r="D1250" s="136"/>
      <c r="E1250" s="137"/>
      <c r="F1250" s="137"/>
    </row>
    <row r="1251">
      <c r="A1251" s="137"/>
      <c r="B1251" s="136"/>
      <c r="C1251" s="136"/>
      <c r="D1251" s="136"/>
      <c r="E1251" s="137"/>
      <c r="F1251" s="137"/>
    </row>
    <row r="1252">
      <c r="A1252" s="137"/>
      <c r="B1252" s="136"/>
      <c r="C1252" s="136"/>
      <c r="D1252" s="136"/>
      <c r="E1252" s="137"/>
      <c r="F1252" s="137"/>
    </row>
    <row r="1253">
      <c r="A1253" s="137"/>
      <c r="B1253" s="136"/>
      <c r="C1253" s="136"/>
      <c r="D1253" s="136"/>
      <c r="E1253" s="137"/>
      <c r="F1253" s="137"/>
    </row>
    <row r="1254">
      <c r="A1254" s="137"/>
      <c r="B1254" s="136"/>
      <c r="C1254" s="136"/>
      <c r="D1254" s="136"/>
      <c r="E1254" s="137"/>
      <c r="F1254" s="137"/>
    </row>
    <row r="1255">
      <c r="A1255" s="137"/>
      <c r="B1255" s="136"/>
      <c r="C1255" s="136"/>
      <c r="D1255" s="136"/>
      <c r="E1255" s="137"/>
      <c r="F1255" s="137"/>
    </row>
    <row r="1256">
      <c r="A1256" s="137"/>
      <c r="B1256" s="136"/>
      <c r="C1256" s="136"/>
      <c r="D1256" s="136"/>
      <c r="E1256" s="137"/>
      <c r="F1256" s="137"/>
    </row>
    <row r="1257">
      <c r="A1257" s="137"/>
      <c r="B1257" s="136"/>
      <c r="C1257" s="136"/>
      <c r="D1257" s="136"/>
      <c r="E1257" s="137"/>
      <c r="F1257" s="137"/>
    </row>
    <row r="1258">
      <c r="A1258" s="137"/>
      <c r="B1258" s="136"/>
      <c r="C1258" s="136"/>
      <c r="D1258" s="136"/>
      <c r="E1258" s="137"/>
      <c r="F1258" s="137"/>
    </row>
    <row r="1259">
      <c r="A1259" s="137"/>
      <c r="B1259" s="136"/>
      <c r="C1259" s="136"/>
      <c r="D1259" s="136"/>
      <c r="E1259" s="137"/>
      <c r="F1259" s="137"/>
    </row>
    <row r="1260">
      <c r="A1260" s="137"/>
      <c r="B1260" s="136"/>
      <c r="C1260" s="136"/>
      <c r="D1260" s="136"/>
      <c r="E1260" s="137"/>
      <c r="F1260" s="137"/>
    </row>
    <row r="1261">
      <c r="A1261" s="137"/>
      <c r="B1261" s="136"/>
      <c r="C1261" s="136"/>
      <c r="D1261" s="136"/>
      <c r="E1261" s="137"/>
      <c r="F1261" s="137"/>
    </row>
    <row r="1262">
      <c r="A1262" s="137"/>
      <c r="B1262" s="136"/>
      <c r="C1262" s="136"/>
      <c r="D1262" s="136"/>
      <c r="E1262" s="137"/>
      <c r="F1262" s="137"/>
    </row>
    <row r="1263">
      <c r="A1263" s="137"/>
      <c r="B1263" s="136"/>
      <c r="C1263" s="136"/>
      <c r="D1263" s="136"/>
      <c r="E1263" s="137"/>
      <c r="F1263" s="137"/>
    </row>
    <row r="1264">
      <c r="A1264" s="137"/>
      <c r="B1264" s="136"/>
      <c r="C1264" s="136"/>
      <c r="D1264" s="136"/>
      <c r="E1264" s="137"/>
      <c r="F1264" s="137"/>
    </row>
    <row r="1265">
      <c r="A1265" s="137"/>
      <c r="B1265" s="136"/>
      <c r="C1265" s="136"/>
      <c r="D1265" s="136"/>
      <c r="E1265" s="137"/>
      <c r="F1265" s="137"/>
    </row>
    <row r="1266">
      <c r="A1266" s="137"/>
      <c r="B1266" s="136"/>
      <c r="C1266" s="136"/>
      <c r="D1266" s="136"/>
      <c r="E1266" s="137"/>
      <c r="F1266" s="137"/>
    </row>
    <row r="1267">
      <c r="A1267" s="137"/>
      <c r="B1267" s="136"/>
      <c r="C1267" s="136"/>
      <c r="D1267" s="136"/>
      <c r="E1267" s="137"/>
      <c r="F1267" s="137"/>
    </row>
    <row r="1268">
      <c r="A1268" s="137"/>
      <c r="B1268" s="136"/>
      <c r="C1268" s="136"/>
      <c r="D1268" s="136"/>
      <c r="E1268" s="137"/>
      <c r="F1268" s="137"/>
    </row>
    <row r="1269">
      <c r="A1269" s="137"/>
      <c r="B1269" s="136"/>
      <c r="C1269" s="136"/>
      <c r="D1269" s="136"/>
      <c r="E1269" s="137"/>
      <c r="F1269" s="137"/>
    </row>
    <row r="1270">
      <c r="A1270" s="137"/>
      <c r="B1270" s="136"/>
      <c r="C1270" s="136"/>
      <c r="D1270" s="136"/>
      <c r="E1270" s="137"/>
      <c r="F1270" s="137"/>
    </row>
    <row r="1271">
      <c r="A1271" s="137"/>
      <c r="B1271" s="136"/>
      <c r="C1271" s="136"/>
      <c r="D1271" s="136"/>
      <c r="E1271" s="137"/>
      <c r="F1271" s="137"/>
    </row>
    <row r="1272">
      <c r="A1272" s="137"/>
      <c r="B1272" s="136"/>
      <c r="C1272" s="136"/>
      <c r="D1272" s="136"/>
      <c r="E1272" s="137"/>
      <c r="F1272" s="137"/>
    </row>
    <row r="1273">
      <c r="A1273" s="137"/>
      <c r="B1273" s="136"/>
      <c r="C1273" s="136"/>
      <c r="D1273" s="136"/>
      <c r="E1273" s="137"/>
      <c r="F1273" s="137"/>
    </row>
    <row r="1274">
      <c r="A1274" s="137"/>
      <c r="B1274" s="136"/>
      <c r="C1274" s="136"/>
      <c r="D1274" s="136"/>
      <c r="E1274" s="137"/>
      <c r="F1274" s="137"/>
    </row>
    <row r="1275">
      <c r="A1275" s="137"/>
      <c r="B1275" s="136"/>
      <c r="C1275" s="136"/>
      <c r="D1275" s="136"/>
      <c r="E1275" s="137"/>
      <c r="F1275" s="137"/>
    </row>
    <row r="1276">
      <c r="A1276" s="137"/>
      <c r="B1276" s="136"/>
      <c r="C1276" s="136"/>
      <c r="D1276" s="136"/>
      <c r="E1276" s="137"/>
      <c r="F1276" s="137"/>
    </row>
    <row r="1277">
      <c r="A1277" s="137"/>
      <c r="B1277" s="136"/>
      <c r="C1277" s="136"/>
      <c r="D1277" s="136"/>
      <c r="E1277" s="137"/>
      <c r="F1277" s="137"/>
    </row>
    <row r="1278">
      <c r="A1278" s="137"/>
      <c r="B1278" s="136"/>
      <c r="C1278" s="136"/>
      <c r="D1278" s="136"/>
      <c r="E1278" s="137"/>
      <c r="F1278" s="137"/>
    </row>
    <row r="1279">
      <c r="A1279" s="137"/>
      <c r="B1279" s="136"/>
      <c r="C1279" s="136"/>
      <c r="D1279" s="136"/>
      <c r="E1279" s="137"/>
      <c r="F1279" s="137"/>
    </row>
    <row r="1280">
      <c r="A1280" s="137"/>
      <c r="B1280" s="136"/>
      <c r="C1280" s="136"/>
      <c r="D1280" s="136"/>
      <c r="E1280" s="137"/>
      <c r="F1280" s="137"/>
    </row>
    <row r="1281">
      <c r="A1281" s="137"/>
      <c r="B1281" s="136"/>
      <c r="C1281" s="136"/>
      <c r="D1281" s="136"/>
      <c r="E1281" s="137"/>
      <c r="F1281" s="137"/>
    </row>
    <row r="1282">
      <c r="A1282" s="137"/>
      <c r="B1282" s="136"/>
      <c r="C1282" s="136"/>
      <c r="D1282" s="136"/>
      <c r="E1282" s="137"/>
      <c r="F1282" s="137"/>
    </row>
    <row r="1283">
      <c r="A1283" s="137"/>
      <c r="B1283" s="136"/>
      <c r="C1283" s="136"/>
      <c r="D1283" s="136"/>
      <c r="E1283" s="137"/>
      <c r="F1283" s="137"/>
    </row>
    <row r="1284">
      <c r="A1284" s="137"/>
      <c r="B1284" s="136"/>
      <c r="C1284" s="136"/>
      <c r="D1284" s="136"/>
      <c r="E1284" s="137"/>
      <c r="F1284" s="137"/>
    </row>
    <row r="1285">
      <c r="A1285" s="137"/>
      <c r="B1285" s="136"/>
      <c r="C1285" s="136"/>
      <c r="D1285" s="136"/>
      <c r="E1285" s="137"/>
      <c r="F1285" s="137"/>
    </row>
    <row r="1286">
      <c r="A1286" s="137"/>
      <c r="B1286" s="136"/>
      <c r="C1286" s="136"/>
      <c r="D1286" s="136"/>
      <c r="E1286" s="137"/>
      <c r="F1286" s="137"/>
    </row>
    <row r="1287">
      <c r="A1287" s="137"/>
      <c r="B1287" s="136"/>
      <c r="C1287" s="136"/>
      <c r="D1287" s="136"/>
      <c r="E1287" s="137"/>
      <c r="F1287" s="137"/>
    </row>
    <row r="1288">
      <c r="A1288" s="137"/>
      <c r="B1288" s="136"/>
      <c r="C1288" s="136"/>
      <c r="D1288" s="136"/>
      <c r="E1288" s="137"/>
      <c r="F1288" s="137"/>
    </row>
    <row r="1289">
      <c r="A1289" s="137"/>
      <c r="B1289" s="136"/>
      <c r="C1289" s="136"/>
      <c r="D1289" s="136"/>
      <c r="E1289" s="137"/>
      <c r="F1289" s="137"/>
    </row>
    <row r="1290">
      <c r="A1290" s="137"/>
      <c r="B1290" s="136"/>
      <c r="C1290" s="136"/>
      <c r="D1290" s="136"/>
      <c r="E1290" s="137"/>
      <c r="F1290" s="137"/>
    </row>
    <row r="1291">
      <c r="A1291" s="137"/>
      <c r="B1291" s="136"/>
      <c r="C1291" s="136"/>
      <c r="D1291" s="136"/>
      <c r="E1291" s="137"/>
      <c r="F1291" s="137"/>
    </row>
    <row r="1292">
      <c r="A1292" s="137"/>
      <c r="B1292" s="136"/>
      <c r="C1292" s="136"/>
      <c r="D1292" s="136"/>
      <c r="E1292" s="137"/>
      <c r="F1292" s="137"/>
    </row>
    <row r="1293">
      <c r="A1293" s="137"/>
      <c r="B1293" s="136"/>
      <c r="C1293" s="136"/>
      <c r="D1293" s="136"/>
      <c r="E1293" s="137"/>
      <c r="F1293" s="137"/>
    </row>
    <row r="1294">
      <c r="A1294" s="137"/>
      <c r="B1294" s="136"/>
      <c r="C1294" s="136"/>
      <c r="D1294" s="136"/>
      <c r="E1294" s="137"/>
      <c r="F1294" s="137"/>
    </row>
    <row r="1295">
      <c r="A1295" s="137"/>
      <c r="B1295" s="136"/>
      <c r="C1295" s="136"/>
      <c r="D1295" s="136"/>
      <c r="E1295" s="137"/>
      <c r="F1295" s="137"/>
    </row>
    <row r="1296">
      <c r="A1296" s="137"/>
      <c r="B1296" s="136"/>
      <c r="C1296" s="136"/>
      <c r="D1296" s="136"/>
      <c r="E1296" s="137"/>
      <c r="F1296" s="137"/>
    </row>
    <row r="1297">
      <c r="A1297" s="137"/>
      <c r="B1297" s="136"/>
      <c r="C1297" s="136"/>
      <c r="D1297" s="136"/>
      <c r="E1297" s="137"/>
      <c r="F1297" s="137"/>
    </row>
    <row r="1298">
      <c r="A1298" s="137"/>
      <c r="B1298" s="136"/>
      <c r="C1298" s="136"/>
      <c r="D1298" s="136"/>
      <c r="E1298" s="137"/>
      <c r="F1298" s="137"/>
    </row>
    <row r="1299">
      <c r="A1299" s="137"/>
      <c r="B1299" s="136"/>
      <c r="C1299" s="136"/>
      <c r="D1299" s="136"/>
      <c r="E1299" s="137"/>
      <c r="F1299" s="137"/>
    </row>
    <row r="1300">
      <c r="A1300" s="137"/>
      <c r="B1300" s="136"/>
      <c r="C1300" s="136"/>
      <c r="D1300" s="136"/>
      <c r="E1300" s="137"/>
      <c r="F1300" s="137"/>
    </row>
    <row r="1301">
      <c r="A1301" s="137"/>
      <c r="B1301" s="136"/>
      <c r="C1301" s="136"/>
      <c r="D1301" s="136"/>
      <c r="E1301" s="137"/>
      <c r="F1301" s="137"/>
    </row>
    <row r="1302">
      <c r="A1302" s="137"/>
      <c r="B1302" s="136"/>
      <c r="C1302" s="136"/>
      <c r="D1302" s="136"/>
      <c r="E1302" s="137"/>
      <c r="F1302" s="137"/>
    </row>
    <row r="1303">
      <c r="A1303" s="137"/>
      <c r="B1303" s="136"/>
      <c r="C1303" s="136"/>
      <c r="D1303" s="136"/>
      <c r="E1303" s="137"/>
      <c r="F1303" s="137"/>
    </row>
    <row r="1304">
      <c r="A1304" s="137"/>
      <c r="B1304" s="136"/>
      <c r="C1304" s="136"/>
      <c r="D1304" s="136"/>
      <c r="E1304" s="137"/>
      <c r="F1304" s="137"/>
    </row>
    <row r="1305">
      <c r="A1305" s="137"/>
      <c r="B1305" s="136"/>
      <c r="C1305" s="136"/>
      <c r="D1305" s="136"/>
      <c r="E1305" s="137"/>
      <c r="F1305" s="137"/>
    </row>
    <row r="1306">
      <c r="A1306" s="137"/>
      <c r="B1306" s="136"/>
      <c r="C1306" s="136"/>
      <c r="D1306" s="136"/>
      <c r="E1306" s="137"/>
      <c r="F1306" s="137"/>
    </row>
    <row r="1307">
      <c r="A1307" s="137"/>
      <c r="B1307" s="136"/>
      <c r="C1307" s="136"/>
      <c r="D1307" s="136"/>
      <c r="E1307" s="137"/>
      <c r="F1307" s="137"/>
    </row>
    <row r="1308">
      <c r="A1308" s="137"/>
      <c r="B1308" s="136"/>
      <c r="C1308" s="136"/>
      <c r="D1308" s="136"/>
      <c r="E1308" s="137"/>
      <c r="F1308" s="137"/>
    </row>
    <row r="1309">
      <c r="A1309" s="137"/>
      <c r="B1309" s="136"/>
      <c r="C1309" s="136"/>
      <c r="D1309" s="136"/>
      <c r="E1309" s="137"/>
      <c r="F1309" s="137"/>
    </row>
    <row r="1310">
      <c r="A1310" s="137"/>
      <c r="B1310" s="136"/>
      <c r="C1310" s="136"/>
      <c r="D1310" s="136"/>
      <c r="E1310" s="137"/>
      <c r="F1310" s="137"/>
    </row>
    <row r="1311">
      <c r="A1311" s="137"/>
      <c r="B1311" s="136"/>
      <c r="C1311" s="136"/>
      <c r="D1311" s="136"/>
      <c r="E1311" s="137"/>
      <c r="F1311" s="137"/>
    </row>
    <row r="1312">
      <c r="A1312" s="137"/>
      <c r="B1312" s="136"/>
      <c r="C1312" s="136"/>
      <c r="D1312" s="136"/>
      <c r="E1312" s="137"/>
      <c r="F1312" s="137"/>
    </row>
    <row r="1313">
      <c r="A1313" s="137"/>
      <c r="B1313" s="136"/>
      <c r="C1313" s="136"/>
      <c r="D1313" s="136"/>
      <c r="E1313" s="137"/>
      <c r="F1313" s="137"/>
    </row>
    <row r="1314">
      <c r="A1314" s="137"/>
      <c r="B1314" s="136"/>
      <c r="C1314" s="136"/>
      <c r="D1314" s="136"/>
      <c r="E1314" s="137"/>
      <c r="F1314" s="137"/>
    </row>
    <row r="1315">
      <c r="A1315" s="137"/>
      <c r="B1315" s="136"/>
      <c r="C1315" s="136"/>
      <c r="D1315" s="136"/>
      <c r="E1315" s="137"/>
      <c r="F1315" s="137"/>
    </row>
    <row r="1316">
      <c r="A1316" s="137"/>
      <c r="B1316" s="136"/>
      <c r="C1316" s="136"/>
      <c r="D1316" s="136"/>
      <c r="E1316" s="137"/>
      <c r="F1316" s="137"/>
    </row>
    <row r="1317">
      <c r="A1317" s="137"/>
      <c r="B1317" s="136"/>
      <c r="C1317" s="136"/>
      <c r="D1317" s="136"/>
      <c r="E1317" s="137"/>
      <c r="F1317" s="137"/>
    </row>
    <row r="1318">
      <c r="A1318" s="137"/>
      <c r="B1318" s="136"/>
      <c r="C1318" s="136"/>
      <c r="D1318" s="136"/>
      <c r="E1318" s="137"/>
      <c r="F1318" s="137"/>
    </row>
    <row r="1319">
      <c r="A1319" s="137"/>
      <c r="B1319" s="136"/>
      <c r="C1319" s="136"/>
      <c r="D1319" s="136"/>
      <c r="E1319" s="137"/>
      <c r="F1319" s="137"/>
    </row>
    <row r="1320">
      <c r="A1320" s="137"/>
      <c r="B1320" s="136"/>
      <c r="C1320" s="136"/>
      <c r="D1320" s="136"/>
      <c r="E1320" s="137"/>
      <c r="F1320" s="137"/>
    </row>
    <row r="1321">
      <c r="A1321" s="137"/>
      <c r="B1321" s="136"/>
      <c r="C1321" s="136"/>
      <c r="D1321" s="136"/>
      <c r="E1321" s="137"/>
      <c r="F1321" s="137"/>
    </row>
    <row r="1322">
      <c r="A1322" s="137"/>
      <c r="B1322" s="136"/>
      <c r="C1322" s="136"/>
      <c r="D1322" s="136"/>
      <c r="E1322" s="137"/>
      <c r="F1322" s="137"/>
    </row>
    <row r="1323">
      <c r="A1323" s="137"/>
      <c r="B1323" s="136"/>
      <c r="C1323" s="136"/>
      <c r="D1323" s="136"/>
      <c r="E1323" s="137"/>
      <c r="F1323" s="137"/>
    </row>
    <row r="1324">
      <c r="A1324" s="137"/>
      <c r="B1324" s="136"/>
      <c r="C1324" s="136"/>
      <c r="D1324" s="136"/>
      <c r="E1324" s="137"/>
      <c r="F1324" s="137"/>
    </row>
    <row r="1325">
      <c r="A1325" s="137"/>
      <c r="B1325" s="136"/>
      <c r="C1325" s="136"/>
      <c r="D1325" s="136"/>
      <c r="E1325" s="137"/>
      <c r="F1325" s="137"/>
    </row>
    <row r="1326">
      <c r="A1326" s="137"/>
      <c r="B1326" s="136"/>
      <c r="C1326" s="136"/>
      <c r="D1326" s="136"/>
      <c r="E1326" s="137"/>
      <c r="F1326" s="137"/>
    </row>
    <row r="1327">
      <c r="A1327" s="137"/>
      <c r="B1327" s="136"/>
      <c r="C1327" s="136"/>
      <c r="D1327" s="136"/>
      <c r="E1327" s="137"/>
      <c r="F1327" s="137"/>
    </row>
    <row r="1328">
      <c r="A1328" s="137"/>
      <c r="B1328" s="136"/>
      <c r="C1328" s="136"/>
      <c r="D1328" s="136"/>
      <c r="E1328" s="137"/>
      <c r="F1328" s="137"/>
    </row>
    <row r="1329">
      <c r="A1329" s="137"/>
      <c r="B1329" s="136"/>
      <c r="C1329" s="136"/>
      <c r="D1329" s="136"/>
      <c r="E1329" s="137"/>
      <c r="F1329" s="137"/>
    </row>
    <row r="1330">
      <c r="A1330" s="137"/>
      <c r="B1330" s="136"/>
      <c r="C1330" s="136"/>
      <c r="D1330" s="136"/>
      <c r="E1330" s="137"/>
      <c r="F1330" s="137"/>
    </row>
    <row r="1331">
      <c r="A1331" s="137"/>
      <c r="B1331" s="136"/>
      <c r="C1331" s="136"/>
      <c r="D1331" s="136"/>
      <c r="E1331" s="137"/>
      <c r="F1331" s="137"/>
    </row>
    <row r="1332">
      <c r="A1332" s="137"/>
      <c r="B1332" s="136"/>
      <c r="C1332" s="136"/>
      <c r="D1332" s="136"/>
      <c r="E1332" s="137"/>
      <c r="F1332" s="137"/>
    </row>
    <row r="1333">
      <c r="A1333" s="137"/>
      <c r="B1333" s="136"/>
      <c r="C1333" s="136"/>
      <c r="D1333" s="136"/>
      <c r="E1333" s="137"/>
      <c r="F1333" s="137"/>
    </row>
    <row r="1334">
      <c r="A1334" s="137"/>
      <c r="B1334" s="136"/>
      <c r="C1334" s="136"/>
      <c r="D1334" s="136"/>
      <c r="E1334" s="137"/>
      <c r="F1334" s="137"/>
    </row>
    <row r="1335">
      <c r="A1335" s="137"/>
      <c r="B1335" s="136"/>
      <c r="C1335" s="136"/>
      <c r="D1335" s="136"/>
      <c r="E1335" s="137"/>
      <c r="F1335" s="137"/>
    </row>
    <row r="1336">
      <c r="A1336" s="137"/>
      <c r="B1336" s="136"/>
      <c r="C1336" s="136"/>
      <c r="D1336" s="136"/>
      <c r="E1336" s="137"/>
      <c r="F1336" s="137"/>
    </row>
    <row r="1337">
      <c r="A1337" s="137"/>
      <c r="B1337" s="136"/>
      <c r="C1337" s="136"/>
      <c r="D1337" s="136"/>
      <c r="E1337" s="137"/>
      <c r="F1337" s="137"/>
    </row>
    <row r="1338">
      <c r="A1338" s="137"/>
      <c r="B1338" s="136"/>
      <c r="C1338" s="136"/>
      <c r="D1338" s="136"/>
      <c r="E1338" s="137"/>
      <c r="F1338" s="137"/>
    </row>
    <row r="1339">
      <c r="A1339" s="137"/>
      <c r="B1339" s="136"/>
      <c r="C1339" s="136"/>
      <c r="D1339" s="136"/>
      <c r="E1339" s="137"/>
      <c r="F1339" s="137"/>
    </row>
    <row r="1340">
      <c r="A1340" s="137"/>
      <c r="B1340" s="136"/>
      <c r="C1340" s="136"/>
      <c r="D1340" s="136"/>
      <c r="E1340" s="137"/>
      <c r="F1340" s="137"/>
    </row>
    <row r="1341">
      <c r="A1341" s="137"/>
      <c r="B1341" s="136"/>
      <c r="C1341" s="136"/>
      <c r="D1341" s="136"/>
      <c r="E1341" s="137"/>
      <c r="F1341" s="137"/>
    </row>
    <row r="1342">
      <c r="A1342" s="137"/>
      <c r="B1342" s="136"/>
      <c r="C1342" s="136"/>
      <c r="D1342" s="136"/>
      <c r="E1342" s="137"/>
      <c r="F1342" s="137"/>
    </row>
    <row r="1343">
      <c r="A1343" s="137"/>
      <c r="B1343" s="136"/>
      <c r="C1343" s="136"/>
      <c r="D1343" s="136"/>
      <c r="E1343" s="137"/>
      <c r="F1343" s="137"/>
    </row>
    <row r="1344">
      <c r="A1344" s="137"/>
      <c r="B1344" s="136"/>
      <c r="C1344" s="136"/>
      <c r="D1344" s="136"/>
      <c r="E1344" s="137"/>
      <c r="F1344" s="137"/>
    </row>
    <row r="1345">
      <c r="A1345" s="137"/>
      <c r="B1345" s="136"/>
      <c r="C1345" s="136"/>
      <c r="D1345" s="136"/>
      <c r="E1345" s="137"/>
      <c r="F1345" s="137"/>
    </row>
    <row r="1346">
      <c r="A1346" s="137"/>
      <c r="B1346" s="136"/>
      <c r="C1346" s="136"/>
      <c r="D1346" s="136"/>
      <c r="E1346" s="137"/>
      <c r="F1346" s="137"/>
    </row>
    <row r="1347">
      <c r="A1347" s="137"/>
      <c r="B1347" s="136"/>
      <c r="C1347" s="136"/>
      <c r="D1347" s="136"/>
      <c r="E1347" s="137"/>
      <c r="F1347" s="137"/>
    </row>
    <row r="1348">
      <c r="A1348" s="137"/>
      <c r="B1348" s="136"/>
      <c r="C1348" s="136"/>
      <c r="D1348" s="136"/>
      <c r="E1348" s="137"/>
      <c r="F1348" s="137"/>
    </row>
    <row r="1349">
      <c r="A1349" s="137"/>
      <c r="B1349" s="136"/>
      <c r="C1349" s="136"/>
      <c r="D1349" s="136"/>
      <c r="E1349" s="137"/>
      <c r="F1349" s="137"/>
    </row>
    <row r="1350">
      <c r="A1350" s="137"/>
      <c r="B1350" s="136"/>
      <c r="C1350" s="136"/>
      <c r="D1350" s="136"/>
      <c r="E1350" s="137"/>
      <c r="F1350" s="137"/>
    </row>
    <row r="1351">
      <c r="A1351" s="137"/>
      <c r="B1351" s="136"/>
      <c r="C1351" s="136"/>
      <c r="D1351" s="136"/>
      <c r="E1351" s="137"/>
      <c r="F1351" s="137"/>
    </row>
    <row r="1352">
      <c r="A1352" s="137"/>
      <c r="B1352" s="136"/>
      <c r="C1352" s="136"/>
      <c r="D1352" s="136"/>
      <c r="E1352" s="137"/>
      <c r="F1352" s="137"/>
    </row>
    <row r="1353">
      <c r="A1353" s="137"/>
      <c r="B1353" s="136"/>
      <c r="C1353" s="136"/>
      <c r="D1353" s="136"/>
      <c r="E1353" s="137"/>
      <c r="F1353" s="137"/>
    </row>
    <row r="1354">
      <c r="A1354" s="137"/>
      <c r="B1354" s="136"/>
      <c r="C1354" s="136"/>
      <c r="D1354" s="136"/>
      <c r="E1354" s="137"/>
      <c r="F1354" s="137"/>
    </row>
    <row r="1355">
      <c r="A1355" s="137"/>
      <c r="B1355" s="136"/>
      <c r="C1355" s="136"/>
      <c r="D1355" s="136"/>
      <c r="E1355" s="137"/>
      <c r="F1355" s="137"/>
    </row>
    <row r="1356">
      <c r="A1356" s="137"/>
      <c r="B1356" s="136"/>
      <c r="C1356" s="136"/>
      <c r="D1356" s="136"/>
      <c r="E1356" s="137"/>
      <c r="F1356" s="137"/>
    </row>
    <row r="1357">
      <c r="A1357" s="137"/>
      <c r="B1357" s="136"/>
      <c r="C1357" s="136"/>
      <c r="D1357" s="136"/>
      <c r="E1357" s="137"/>
      <c r="F1357" s="137"/>
    </row>
    <row r="1358">
      <c r="A1358" s="137"/>
      <c r="B1358" s="136"/>
      <c r="C1358" s="136"/>
      <c r="D1358" s="136"/>
      <c r="E1358" s="137"/>
      <c r="F1358" s="137"/>
    </row>
    <row r="1359">
      <c r="A1359" s="137"/>
      <c r="B1359" s="136"/>
      <c r="C1359" s="136"/>
      <c r="D1359" s="136"/>
      <c r="E1359" s="137"/>
      <c r="F1359" s="137"/>
    </row>
    <row r="1360">
      <c r="A1360" s="137"/>
      <c r="B1360" s="136"/>
      <c r="C1360" s="136"/>
      <c r="D1360" s="136"/>
      <c r="E1360" s="137"/>
      <c r="F1360" s="137"/>
    </row>
    <row r="1361">
      <c r="A1361" s="137"/>
      <c r="B1361" s="136"/>
      <c r="C1361" s="136"/>
      <c r="D1361" s="136"/>
      <c r="E1361" s="137"/>
      <c r="F1361" s="137"/>
    </row>
    <row r="1362">
      <c r="A1362" s="137"/>
      <c r="B1362" s="136"/>
      <c r="C1362" s="136"/>
      <c r="D1362" s="136"/>
      <c r="E1362" s="137"/>
      <c r="F1362" s="137"/>
    </row>
    <row r="1363">
      <c r="A1363" s="137"/>
      <c r="B1363" s="136"/>
      <c r="C1363" s="136"/>
      <c r="D1363" s="136"/>
      <c r="E1363" s="137"/>
      <c r="F1363" s="137"/>
    </row>
    <row r="1364">
      <c r="A1364" s="137"/>
      <c r="B1364" s="136"/>
      <c r="C1364" s="136"/>
      <c r="D1364" s="136"/>
      <c r="E1364" s="137"/>
      <c r="F1364" s="137"/>
    </row>
    <row r="1365">
      <c r="A1365" s="137"/>
      <c r="B1365" s="136"/>
      <c r="C1365" s="136"/>
      <c r="D1365" s="136"/>
      <c r="E1365" s="137"/>
      <c r="F1365" s="137"/>
    </row>
    <row r="1366">
      <c r="A1366" s="137"/>
      <c r="B1366" s="136"/>
      <c r="C1366" s="136"/>
      <c r="D1366" s="136"/>
      <c r="E1366" s="137"/>
      <c r="F1366" s="137"/>
    </row>
    <row r="1367">
      <c r="A1367" s="137"/>
      <c r="B1367" s="136"/>
      <c r="C1367" s="136"/>
      <c r="D1367" s="136"/>
      <c r="E1367" s="137"/>
      <c r="F1367" s="137"/>
    </row>
    <row r="1368">
      <c r="A1368" s="137"/>
      <c r="B1368" s="136"/>
      <c r="C1368" s="136"/>
      <c r="D1368" s="136"/>
      <c r="E1368" s="137"/>
      <c r="F1368" s="137"/>
    </row>
    <row r="1369">
      <c r="A1369" s="137"/>
      <c r="B1369" s="136"/>
      <c r="C1369" s="136"/>
      <c r="D1369" s="136"/>
      <c r="E1369" s="137"/>
      <c r="F1369" s="137"/>
    </row>
    <row r="1370">
      <c r="A1370" s="137"/>
      <c r="B1370" s="136"/>
      <c r="C1370" s="136"/>
      <c r="D1370" s="136"/>
      <c r="E1370" s="137"/>
      <c r="F1370" s="137"/>
    </row>
    <row r="1371">
      <c r="A1371" s="137"/>
      <c r="B1371" s="136"/>
      <c r="C1371" s="136"/>
      <c r="D1371" s="136"/>
      <c r="E1371" s="137"/>
      <c r="F1371" s="137"/>
    </row>
    <row r="1372">
      <c r="A1372" s="137"/>
      <c r="B1372" s="136"/>
      <c r="C1372" s="136"/>
      <c r="D1372" s="136"/>
      <c r="E1372" s="137"/>
      <c r="F1372" s="137"/>
    </row>
    <row r="1373">
      <c r="A1373" s="137"/>
      <c r="B1373" s="136"/>
      <c r="C1373" s="136"/>
      <c r="D1373" s="136"/>
      <c r="E1373" s="137"/>
      <c r="F1373" s="137"/>
    </row>
    <row r="1374">
      <c r="A1374" s="137"/>
      <c r="B1374" s="136"/>
      <c r="C1374" s="136"/>
      <c r="D1374" s="136"/>
      <c r="E1374" s="137"/>
      <c r="F1374" s="137"/>
    </row>
    <row r="1375">
      <c r="A1375" s="137"/>
      <c r="B1375" s="136"/>
      <c r="C1375" s="136"/>
      <c r="D1375" s="136"/>
      <c r="E1375" s="137"/>
      <c r="F1375" s="137"/>
    </row>
    <row r="1376">
      <c r="A1376" s="137"/>
      <c r="B1376" s="136"/>
      <c r="C1376" s="136"/>
      <c r="D1376" s="136"/>
      <c r="E1376" s="137"/>
      <c r="F1376" s="137"/>
    </row>
    <row r="1377">
      <c r="A1377" s="137"/>
      <c r="B1377" s="136"/>
      <c r="C1377" s="136"/>
      <c r="D1377" s="136"/>
      <c r="E1377" s="137"/>
      <c r="F1377" s="137"/>
    </row>
    <row r="1378">
      <c r="A1378" s="137"/>
      <c r="B1378" s="136"/>
      <c r="C1378" s="136"/>
      <c r="D1378" s="136"/>
      <c r="E1378" s="137"/>
      <c r="F1378" s="137"/>
    </row>
    <row r="1379">
      <c r="A1379" s="137"/>
      <c r="B1379" s="136"/>
      <c r="C1379" s="136"/>
      <c r="D1379" s="136"/>
      <c r="E1379" s="137"/>
      <c r="F1379" s="137"/>
    </row>
    <row r="1380">
      <c r="A1380" s="137"/>
      <c r="B1380" s="136"/>
      <c r="C1380" s="136"/>
      <c r="D1380" s="136"/>
      <c r="E1380" s="137"/>
      <c r="F1380" s="137"/>
    </row>
    <row r="1381">
      <c r="A1381" s="137"/>
      <c r="B1381" s="136"/>
      <c r="C1381" s="136"/>
      <c r="D1381" s="136"/>
      <c r="E1381" s="137"/>
      <c r="F1381" s="137"/>
    </row>
    <row r="1382">
      <c r="A1382" s="137"/>
      <c r="B1382" s="136"/>
      <c r="C1382" s="136"/>
      <c r="D1382" s="136"/>
      <c r="E1382" s="137"/>
      <c r="F1382" s="137"/>
    </row>
    <row r="1383">
      <c r="A1383" s="137"/>
      <c r="B1383" s="136"/>
      <c r="C1383" s="136"/>
      <c r="D1383" s="136"/>
      <c r="E1383" s="137"/>
      <c r="F1383" s="137"/>
    </row>
    <row r="1384">
      <c r="A1384" s="137"/>
      <c r="B1384" s="136"/>
      <c r="C1384" s="136"/>
      <c r="D1384" s="136"/>
      <c r="E1384" s="137"/>
      <c r="F1384" s="137"/>
    </row>
    <row r="1385">
      <c r="A1385" s="137"/>
      <c r="B1385" s="136"/>
      <c r="C1385" s="136"/>
      <c r="D1385" s="136"/>
      <c r="E1385" s="137"/>
      <c r="F1385" s="137"/>
    </row>
    <row r="1386">
      <c r="A1386" s="137"/>
      <c r="B1386" s="136"/>
      <c r="C1386" s="136"/>
      <c r="D1386" s="136"/>
      <c r="E1386" s="137"/>
      <c r="F1386" s="137"/>
    </row>
    <row r="1387">
      <c r="A1387" s="137"/>
      <c r="B1387" s="136"/>
      <c r="C1387" s="136"/>
      <c r="D1387" s="136"/>
      <c r="E1387" s="137"/>
      <c r="F1387" s="137"/>
    </row>
    <row r="1388">
      <c r="A1388" s="137"/>
      <c r="B1388" s="136"/>
      <c r="C1388" s="136"/>
      <c r="D1388" s="136"/>
      <c r="E1388" s="137"/>
      <c r="F1388" s="137"/>
    </row>
    <row r="1389">
      <c r="A1389" s="137"/>
      <c r="B1389" s="136"/>
      <c r="C1389" s="136"/>
      <c r="D1389" s="136"/>
      <c r="E1389" s="137"/>
      <c r="F1389" s="137"/>
    </row>
    <row r="1390">
      <c r="A1390" s="137"/>
      <c r="B1390" s="136"/>
      <c r="C1390" s="136"/>
      <c r="D1390" s="136"/>
      <c r="E1390" s="137"/>
      <c r="F1390" s="137"/>
    </row>
    <row r="1391">
      <c r="A1391" s="137"/>
      <c r="B1391" s="136"/>
      <c r="C1391" s="136"/>
      <c r="D1391" s="136"/>
      <c r="E1391" s="137"/>
      <c r="F1391" s="137"/>
    </row>
    <row r="1392">
      <c r="A1392" s="137"/>
      <c r="B1392" s="136"/>
      <c r="C1392" s="136"/>
      <c r="D1392" s="136"/>
      <c r="E1392" s="137"/>
      <c r="F1392" s="137"/>
    </row>
    <row r="1393">
      <c r="A1393" s="137"/>
      <c r="B1393" s="136"/>
      <c r="C1393" s="136"/>
      <c r="D1393" s="136"/>
      <c r="E1393" s="137"/>
      <c r="F1393" s="137"/>
    </row>
    <row r="1394">
      <c r="A1394" s="137"/>
      <c r="B1394" s="136"/>
      <c r="C1394" s="136"/>
      <c r="D1394" s="136"/>
      <c r="E1394" s="137"/>
      <c r="F1394" s="137"/>
    </row>
    <row r="1395">
      <c r="A1395" s="137"/>
      <c r="B1395" s="136"/>
      <c r="C1395" s="136"/>
      <c r="D1395" s="136"/>
      <c r="E1395" s="137"/>
      <c r="F1395" s="137"/>
    </row>
    <row r="1396">
      <c r="A1396" s="137"/>
      <c r="B1396" s="136"/>
      <c r="C1396" s="136"/>
      <c r="D1396" s="136"/>
      <c r="E1396" s="137"/>
      <c r="F1396" s="137"/>
    </row>
    <row r="1397">
      <c r="A1397" s="137"/>
      <c r="B1397" s="136"/>
      <c r="C1397" s="136"/>
      <c r="D1397" s="136"/>
      <c r="E1397" s="137"/>
      <c r="F1397" s="137"/>
    </row>
    <row r="1398">
      <c r="A1398" s="137"/>
      <c r="B1398" s="136"/>
      <c r="C1398" s="136"/>
      <c r="D1398" s="136"/>
      <c r="E1398" s="137"/>
      <c r="F1398" s="137"/>
    </row>
    <row r="1399">
      <c r="A1399" s="137"/>
      <c r="B1399" s="136"/>
      <c r="C1399" s="136"/>
      <c r="D1399" s="136"/>
      <c r="E1399" s="137"/>
      <c r="F1399" s="137"/>
    </row>
    <row r="1400">
      <c r="A1400" s="137"/>
      <c r="B1400" s="136"/>
      <c r="C1400" s="136"/>
      <c r="D1400" s="136"/>
      <c r="E1400" s="137"/>
      <c r="F1400" s="137"/>
    </row>
    <row r="1401">
      <c r="A1401" s="137"/>
      <c r="B1401" s="136"/>
      <c r="C1401" s="136"/>
      <c r="D1401" s="136"/>
      <c r="E1401" s="137"/>
      <c r="F1401" s="137"/>
    </row>
    <row r="1402">
      <c r="A1402" s="137"/>
      <c r="B1402" s="136"/>
      <c r="C1402" s="136"/>
      <c r="D1402" s="136"/>
      <c r="E1402" s="137"/>
      <c r="F1402" s="137"/>
    </row>
    <row r="1403">
      <c r="A1403" s="137"/>
      <c r="B1403" s="136"/>
      <c r="C1403" s="136"/>
      <c r="D1403" s="136"/>
      <c r="E1403" s="137"/>
      <c r="F1403" s="137"/>
    </row>
    <row r="1404">
      <c r="A1404" s="137"/>
      <c r="B1404" s="136"/>
      <c r="C1404" s="136"/>
      <c r="D1404" s="136"/>
      <c r="E1404" s="137"/>
      <c r="F1404" s="137"/>
    </row>
    <row r="1405">
      <c r="A1405" s="137"/>
      <c r="B1405" s="136"/>
      <c r="C1405" s="136"/>
      <c r="D1405" s="136"/>
      <c r="E1405" s="137"/>
      <c r="F1405" s="137"/>
    </row>
    <row r="1406">
      <c r="A1406" s="137"/>
      <c r="B1406" s="136"/>
      <c r="C1406" s="136"/>
      <c r="D1406" s="136"/>
      <c r="E1406" s="137"/>
      <c r="F1406" s="137"/>
    </row>
    <row r="1407">
      <c r="A1407" s="137"/>
      <c r="B1407" s="136"/>
      <c r="C1407" s="136"/>
      <c r="D1407" s="136"/>
      <c r="E1407" s="137"/>
      <c r="F1407" s="137"/>
    </row>
    <row r="1408">
      <c r="A1408" s="137"/>
      <c r="B1408" s="136"/>
      <c r="C1408" s="136"/>
      <c r="D1408" s="136"/>
      <c r="E1408" s="137"/>
      <c r="F1408" s="137"/>
    </row>
    <row r="1409">
      <c r="A1409" s="137"/>
      <c r="B1409" s="136"/>
      <c r="C1409" s="136"/>
      <c r="D1409" s="136"/>
      <c r="E1409" s="137"/>
      <c r="F1409" s="137"/>
    </row>
    <row r="1410">
      <c r="A1410" s="137"/>
      <c r="B1410" s="136"/>
      <c r="C1410" s="136"/>
      <c r="D1410" s="136"/>
      <c r="E1410" s="137"/>
      <c r="F1410" s="137"/>
    </row>
    <row r="1411">
      <c r="A1411" s="137"/>
      <c r="B1411" s="136"/>
      <c r="C1411" s="136"/>
      <c r="D1411" s="136"/>
      <c r="E1411" s="137"/>
      <c r="F1411" s="137"/>
    </row>
    <row r="1412">
      <c r="A1412" s="137"/>
      <c r="B1412" s="136"/>
      <c r="C1412" s="136"/>
      <c r="D1412" s="136"/>
      <c r="E1412" s="137"/>
      <c r="F1412" s="137"/>
    </row>
    <row r="1413">
      <c r="A1413" s="137"/>
      <c r="B1413" s="136"/>
      <c r="C1413" s="136"/>
      <c r="D1413" s="136"/>
      <c r="E1413" s="137"/>
      <c r="F1413" s="137"/>
    </row>
    <row r="1414">
      <c r="A1414" s="137"/>
      <c r="B1414" s="136"/>
      <c r="C1414" s="136"/>
      <c r="D1414" s="136"/>
      <c r="E1414" s="137"/>
      <c r="F1414" s="137"/>
    </row>
    <row r="1415">
      <c r="A1415" s="137"/>
      <c r="B1415" s="136"/>
      <c r="C1415" s="136"/>
      <c r="D1415" s="136"/>
      <c r="E1415" s="137"/>
      <c r="F1415" s="137"/>
    </row>
    <row r="1416">
      <c r="A1416" s="137"/>
      <c r="B1416" s="136"/>
      <c r="C1416" s="136"/>
      <c r="D1416" s="136"/>
      <c r="E1416" s="137"/>
      <c r="F1416" s="137"/>
    </row>
    <row r="1417">
      <c r="A1417" s="137"/>
      <c r="B1417" s="136"/>
      <c r="C1417" s="136"/>
      <c r="D1417" s="136"/>
      <c r="E1417" s="137"/>
      <c r="F1417" s="137"/>
    </row>
    <row r="1418">
      <c r="A1418" s="137"/>
      <c r="B1418" s="136"/>
      <c r="C1418" s="136"/>
      <c r="D1418" s="136"/>
      <c r="E1418" s="137"/>
      <c r="F1418" s="137"/>
    </row>
    <row r="1419">
      <c r="A1419" s="137"/>
      <c r="B1419" s="136"/>
      <c r="C1419" s="136"/>
      <c r="D1419" s="136"/>
      <c r="E1419" s="137"/>
      <c r="F1419" s="137"/>
    </row>
    <row r="1420">
      <c r="A1420" s="137"/>
      <c r="B1420" s="136"/>
      <c r="C1420" s="136"/>
      <c r="D1420" s="136"/>
      <c r="E1420" s="137"/>
      <c r="F1420" s="137"/>
    </row>
    <row r="1421">
      <c r="A1421" s="137"/>
      <c r="B1421" s="136"/>
      <c r="C1421" s="136"/>
      <c r="D1421" s="136"/>
      <c r="E1421" s="137"/>
      <c r="F1421" s="137"/>
    </row>
    <row r="1422">
      <c r="A1422" s="137"/>
      <c r="B1422" s="136"/>
      <c r="C1422" s="136"/>
      <c r="D1422" s="136"/>
      <c r="E1422" s="137"/>
      <c r="F1422" s="137"/>
    </row>
    <row r="1423">
      <c r="A1423" s="137"/>
      <c r="B1423" s="136"/>
      <c r="C1423" s="136"/>
      <c r="D1423" s="136"/>
      <c r="E1423" s="137"/>
      <c r="F1423" s="137"/>
    </row>
    <row r="1424">
      <c r="A1424" s="137"/>
      <c r="B1424" s="136"/>
      <c r="C1424" s="136"/>
      <c r="D1424" s="136"/>
      <c r="E1424" s="137"/>
      <c r="F1424" s="137"/>
    </row>
    <row r="1425">
      <c r="A1425" s="137"/>
      <c r="B1425" s="136"/>
      <c r="C1425" s="136"/>
      <c r="D1425" s="136"/>
      <c r="E1425" s="137"/>
      <c r="F1425" s="137"/>
    </row>
    <row r="1426">
      <c r="A1426" s="137"/>
      <c r="B1426" s="136"/>
      <c r="C1426" s="136"/>
      <c r="D1426" s="136"/>
      <c r="E1426" s="137"/>
      <c r="F1426" s="137"/>
    </row>
    <row r="1427">
      <c r="A1427" s="137"/>
      <c r="B1427" s="136"/>
      <c r="C1427" s="136"/>
      <c r="D1427" s="136"/>
      <c r="E1427" s="137"/>
      <c r="F1427" s="137"/>
    </row>
    <row r="1428">
      <c r="A1428" s="137"/>
      <c r="B1428" s="136"/>
      <c r="C1428" s="136"/>
      <c r="D1428" s="136"/>
      <c r="E1428" s="137"/>
      <c r="F1428" s="137"/>
    </row>
    <row r="1429">
      <c r="A1429" s="137"/>
      <c r="B1429" s="136"/>
      <c r="C1429" s="136"/>
      <c r="D1429" s="136"/>
      <c r="E1429" s="137"/>
      <c r="F1429" s="137"/>
    </row>
    <row r="1430">
      <c r="A1430" s="137"/>
      <c r="B1430" s="136"/>
      <c r="C1430" s="136"/>
      <c r="D1430" s="136"/>
      <c r="E1430" s="137"/>
      <c r="F1430" s="137"/>
    </row>
    <row r="1431">
      <c r="A1431" s="137"/>
      <c r="B1431" s="136"/>
      <c r="C1431" s="136"/>
      <c r="D1431" s="136"/>
      <c r="E1431" s="137"/>
      <c r="F1431" s="137"/>
    </row>
    <row r="1432">
      <c r="A1432" s="137"/>
      <c r="B1432" s="136"/>
      <c r="C1432" s="136"/>
      <c r="D1432" s="136"/>
      <c r="E1432" s="137"/>
      <c r="F1432" s="137"/>
    </row>
    <row r="1433">
      <c r="A1433" s="137"/>
      <c r="B1433" s="136"/>
      <c r="C1433" s="136"/>
      <c r="D1433" s="136"/>
      <c r="E1433" s="137"/>
      <c r="F1433" s="137"/>
    </row>
    <row r="1434">
      <c r="A1434" s="137"/>
      <c r="B1434" s="136"/>
      <c r="C1434" s="136"/>
      <c r="D1434" s="136"/>
      <c r="E1434" s="137"/>
      <c r="F1434" s="137"/>
    </row>
    <row r="1435">
      <c r="A1435" s="137"/>
      <c r="B1435" s="136"/>
      <c r="C1435" s="136"/>
      <c r="D1435" s="136"/>
      <c r="E1435" s="137"/>
      <c r="F1435" s="137"/>
    </row>
    <row r="1436">
      <c r="A1436" s="137"/>
      <c r="B1436" s="136"/>
      <c r="C1436" s="136"/>
      <c r="D1436" s="136"/>
      <c r="E1436" s="137"/>
      <c r="F1436" s="137"/>
    </row>
    <row r="1437">
      <c r="A1437" s="137"/>
      <c r="B1437" s="136"/>
      <c r="C1437" s="136"/>
      <c r="D1437" s="136"/>
      <c r="E1437" s="137"/>
      <c r="F1437" s="137"/>
    </row>
    <row r="1438">
      <c r="A1438" s="137"/>
      <c r="B1438" s="136"/>
      <c r="C1438" s="136"/>
      <c r="D1438" s="136"/>
      <c r="E1438" s="137"/>
      <c r="F1438" s="137"/>
    </row>
    <row r="1439">
      <c r="A1439" s="137"/>
      <c r="B1439" s="136"/>
      <c r="C1439" s="136"/>
      <c r="D1439" s="136"/>
      <c r="E1439" s="137"/>
      <c r="F1439" s="137"/>
    </row>
    <row r="1440">
      <c r="A1440" s="137"/>
      <c r="B1440" s="136"/>
      <c r="C1440" s="136"/>
      <c r="D1440" s="136"/>
      <c r="E1440" s="137"/>
      <c r="F1440" s="137"/>
    </row>
    <row r="1441">
      <c r="A1441" s="137"/>
      <c r="B1441" s="136"/>
      <c r="C1441" s="136"/>
      <c r="D1441" s="136"/>
      <c r="E1441" s="137"/>
      <c r="F1441" s="137"/>
    </row>
    <row r="1442">
      <c r="A1442" s="137"/>
      <c r="B1442" s="136"/>
      <c r="C1442" s="136"/>
      <c r="D1442" s="136"/>
      <c r="E1442" s="137"/>
      <c r="F1442" s="137"/>
    </row>
    <row r="1443">
      <c r="A1443" s="137"/>
      <c r="B1443" s="136"/>
      <c r="C1443" s="136"/>
      <c r="D1443" s="136"/>
      <c r="E1443" s="137"/>
      <c r="F1443" s="137"/>
    </row>
    <row r="1444">
      <c r="A1444" s="137"/>
      <c r="B1444" s="136"/>
      <c r="C1444" s="136"/>
      <c r="D1444" s="136"/>
      <c r="E1444" s="137"/>
      <c r="F1444" s="137"/>
    </row>
    <row r="1445">
      <c r="A1445" s="137"/>
      <c r="B1445" s="136"/>
      <c r="C1445" s="136"/>
      <c r="D1445" s="136"/>
      <c r="E1445" s="137"/>
      <c r="F1445" s="137"/>
    </row>
    <row r="1446">
      <c r="A1446" s="137"/>
      <c r="B1446" s="136"/>
      <c r="C1446" s="136"/>
      <c r="D1446" s="136"/>
      <c r="E1446" s="137"/>
      <c r="F1446" s="137"/>
    </row>
    <row r="1447">
      <c r="A1447" s="137"/>
      <c r="B1447" s="136"/>
      <c r="C1447" s="136"/>
      <c r="D1447" s="136"/>
      <c r="E1447" s="137"/>
      <c r="F1447" s="137"/>
    </row>
    <row r="1448">
      <c r="A1448" s="137"/>
      <c r="B1448" s="136"/>
      <c r="C1448" s="136"/>
      <c r="D1448" s="136"/>
      <c r="E1448" s="137"/>
      <c r="F1448" s="137"/>
    </row>
    <row r="1449">
      <c r="A1449" s="137"/>
      <c r="B1449" s="136"/>
      <c r="C1449" s="136"/>
      <c r="D1449" s="136"/>
      <c r="E1449" s="137"/>
      <c r="F1449" s="137"/>
    </row>
    <row r="1450">
      <c r="A1450" s="137"/>
      <c r="B1450" s="136"/>
      <c r="C1450" s="136"/>
      <c r="D1450" s="136"/>
      <c r="E1450" s="137"/>
      <c r="F1450" s="137"/>
    </row>
    <row r="1451">
      <c r="A1451" s="137"/>
      <c r="B1451" s="136"/>
      <c r="C1451" s="136"/>
      <c r="D1451" s="136"/>
      <c r="E1451" s="137"/>
      <c r="F1451" s="137"/>
    </row>
    <row r="1452">
      <c r="A1452" s="137"/>
      <c r="B1452" s="136"/>
      <c r="C1452" s="136"/>
      <c r="D1452" s="136"/>
      <c r="E1452" s="137"/>
      <c r="F1452" s="137"/>
    </row>
    <row r="1453">
      <c r="A1453" s="137"/>
      <c r="B1453" s="136"/>
      <c r="C1453" s="136"/>
      <c r="D1453" s="136"/>
      <c r="E1453" s="137"/>
      <c r="F1453" s="137"/>
    </row>
    <row r="1454">
      <c r="A1454" s="137"/>
      <c r="B1454" s="136"/>
      <c r="C1454" s="136"/>
      <c r="D1454" s="136"/>
      <c r="E1454" s="137"/>
      <c r="F1454" s="137"/>
    </row>
    <row r="1455">
      <c r="A1455" s="137"/>
      <c r="B1455" s="136"/>
      <c r="C1455" s="136"/>
      <c r="D1455" s="136"/>
      <c r="E1455" s="137"/>
      <c r="F1455" s="137"/>
    </row>
    <row r="1456">
      <c r="A1456" s="137"/>
      <c r="B1456" s="136"/>
      <c r="C1456" s="136"/>
      <c r="D1456" s="136"/>
      <c r="E1456" s="137"/>
      <c r="F1456" s="137"/>
    </row>
    <row r="1457">
      <c r="A1457" s="137"/>
      <c r="B1457" s="136"/>
      <c r="C1457" s="136"/>
      <c r="D1457" s="136"/>
      <c r="E1457" s="137"/>
      <c r="F1457" s="137"/>
    </row>
    <row r="1458">
      <c r="A1458" s="137"/>
      <c r="B1458" s="136"/>
      <c r="C1458" s="136"/>
      <c r="D1458" s="136"/>
      <c r="E1458" s="137"/>
      <c r="F1458" s="137"/>
    </row>
    <row r="1459">
      <c r="A1459" s="137"/>
      <c r="B1459" s="136"/>
      <c r="C1459" s="136"/>
      <c r="D1459" s="136"/>
      <c r="E1459" s="137"/>
      <c r="F1459" s="137"/>
    </row>
    <row r="1460">
      <c r="A1460" s="137"/>
      <c r="B1460" s="136"/>
      <c r="C1460" s="136"/>
      <c r="D1460" s="136"/>
      <c r="E1460" s="137"/>
      <c r="F1460" s="137"/>
    </row>
    <row r="1461">
      <c r="A1461" s="137"/>
      <c r="B1461" s="136"/>
      <c r="C1461" s="136"/>
      <c r="D1461" s="136"/>
      <c r="E1461" s="137"/>
      <c r="F1461" s="137"/>
    </row>
    <row r="1462">
      <c r="A1462" s="137"/>
      <c r="B1462" s="136"/>
      <c r="C1462" s="136"/>
      <c r="D1462" s="136"/>
      <c r="E1462" s="137"/>
      <c r="F1462" s="137"/>
    </row>
    <row r="1463">
      <c r="A1463" s="137"/>
      <c r="B1463" s="136"/>
      <c r="C1463" s="136"/>
      <c r="D1463" s="136"/>
      <c r="E1463" s="137"/>
      <c r="F1463" s="137"/>
    </row>
    <row r="1464">
      <c r="A1464" s="137"/>
      <c r="B1464" s="136"/>
      <c r="C1464" s="136"/>
      <c r="D1464" s="136"/>
      <c r="E1464" s="137"/>
      <c r="F1464" s="137"/>
    </row>
    <row r="1465">
      <c r="A1465" s="137"/>
      <c r="B1465" s="136"/>
      <c r="C1465" s="136"/>
      <c r="D1465" s="136"/>
      <c r="E1465" s="137"/>
      <c r="F1465" s="137"/>
    </row>
    <row r="1466">
      <c r="A1466" s="137"/>
      <c r="B1466" s="136"/>
      <c r="C1466" s="136"/>
      <c r="D1466" s="136"/>
      <c r="E1466" s="137"/>
      <c r="F1466" s="137"/>
    </row>
    <row r="1467">
      <c r="A1467" s="137"/>
      <c r="B1467" s="136"/>
      <c r="C1467" s="136"/>
      <c r="D1467" s="136"/>
      <c r="E1467" s="137"/>
      <c r="F1467" s="137"/>
    </row>
    <row r="1468">
      <c r="A1468" s="137"/>
      <c r="B1468" s="136"/>
      <c r="C1468" s="136"/>
      <c r="D1468" s="136"/>
      <c r="E1468" s="137"/>
      <c r="F1468" s="137"/>
    </row>
    <row r="1469">
      <c r="A1469" s="137"/>
      <c r="B1469" s="136"/>
      <c r="C1469" s="136"/>
      <c r="D1469" s="136"/>
      <c r="E1469" s="137"/>
      <c r="F1469" s="137"/>
    </row>
    <row r="1470">
      <c r="A1470" s="137"/>
      <c r="B1470" s="136"/>
      <c r="C1470" s="136"/>
      <c r="D1470" s="136"/>
      <c r="E1470" s="137"/>
      <c r="F1470" s="137"/>
    </row>
    <row r="1471">
      <c r="A1471" s="137"/>
      <c r="B1471" s="136"/>
      <c r="C1471" s="136"/>
      <c r="D1471" s="136"/>
      <c r="E1471" s="137"/>
      <c r="F1471" s="137"/>
    </row>
    <row r="1472">
      <c r="A1472" s="137"/>
      <c r="B1472" s="136"/>
      <c r="C1472" s="136"/>
      <c r="D1472" s="136"/>
      <c r="E1472" s="137"/>
      <c r="F1472" s="137"/>
    </row>
    <row r="1473">
      <c r="A1473" s="137"/>
      <c r="B1473" s="136"/>
      <c r="C1473" s="136"/>
      <c r="D1473" s="136"/>
      <c r="E1473" s="137"/>
      <c r="F1473" s="137"/>
    </row>
    <row r="1474">
      <c r="A1474" s="137"/>
      <c r="B1474" s="136"/>
      <c r="C1474" s="136"/>
      <c r="D1474" s="136"/>
      <c r="E1474" s="137"/>
      <c r="F1474" s="137"/>
    </row>
    <row r="1475">
      <c r="A1475" s="137"/>
      <c r="B1475" s="136"/>
      <c r="C1475" s="136"/>
      <c r="D1475" s="136"/>
      <c r="E1475" s="137"/>
      <c r="F1475" s="137"/>
    </row>
    <row r="1476">
      <c r="A1476" s="137"/>
      <c r="B1476" s="136"/>
      <c r="C1476" s="136"/>
      <c r="D1476" s="136"/>
      <c r="E1476" s="137"/>
      <c r="F1476" s="137"/>
    </row>
    <row r="1477">
      <c r="A1477" s="137"/>
      <c r="B1477" s="136"/>
      <c r="C1477" s="136"/>
      <c r="D1477" s="136"/>
      <c r="E1477" s="137"/>
      <c r="F1477" s="137"/>
    </row>
    <row r="1478">
      <c r="A1478" s="137"/>
      <c r="B1478" s="136"/>
      <c r="C1478" s="136"/>
      <c r="D1478" s="136"/>
      <c r="E1478" s="137"/>
      <c r="F1478" s="137"/>
    </row>
    <row r="1479">
      <c r="A1479" s="137"/>
      <c r="B1479" s="136"/>
      <c r="C1479" s="136"/>
      <c r="D1479" s="136"/>
      <c r="E1479" s="137"/>
      <c r="F1479" s="137"/>
    </row>
    <row r="1480">
      <c r="A1480" s="137"/>
      <c r="B1480" s="136"/>
      <c r="C1480" s="136"/>
      <c r="D1480" s="136"/>
      <c r="E1480" s="137"/>
      <c r="F1480" s="137"/>
    </row>
    <row r="1481">
      <c r="A1481" s="137"/>
      <c r="B1481" s="136"/>
      <c r="C1481" s="136"/>
      <c r="D1481" s="136"/>
      <c r="E1481" s="137"/>
      <c r="F1481" s="137"/>
    </row>
    <row r="1482">
      <c r="A1482" s="137"/>
      <c r="B1482" s="136"/>
      <c r="C1482" s="136"/>
      <c r="D1482" s="136"/>
      <c r="E1482" s="137"/>
      <c r="F1482" s="137"/>
    </row>
    <row r="1483">
      <c r="A1483" s="137"/>
      <c r="B1483" s="136"/>
      <c r="C1483" s="136"/>
      <c r="D1483" s="136"/>
      <c r="E1483" s="137"/>
      <c r="F1483" s="137"/>
    </row>
    <row r="1484">
      <c r="A1484" s="137"/>
      <c r="B1484" s="136"/>
      <c r="C1484" s="136"/>
      <c r="D1484" s="136"/>
      <c r="E1484" s="137"/>
      <c r="F1484" s="137"/>
    </row>
    <row r="1485">
      <c r="A1485" s="137"/>
      <c r="B1485" s="136"/>
      <c r="C1485" s="136"/>
      <c r="D1485" s="136"/>
      <c r="E1485" s="137"/>
      <c r="F1485" s="137"/>
    </row>
    <row r="1486">
      <c r="A1486" s="137"/>
      <c r="B1486" s="136"/>
      <c r="C1486" s="136"/>
      <c r="D1486" s="136"/>
      <c r="E1486" s="137"/>
      <c r="F1486" s="137"/>
    </row>
    <row r="1487">
      <c r="A1487" s="137"/>
      <c r="B1487" s="136"/>
      <c r="C1487" s="136"/>
      <c r="D1487" s="136"/>
      <c r="E1487" s="137"/>
      <c r="F1487" s="137"/>
    </row>
    <row r="1488">
      <c r="A1488" s="137"/>
      <c r="B1488" s="136"/>
      <c r="C1488" s="136"/>
      <c r="D1488" s="136"/>
      <c r="E1488" s="137"/>
      <c r="F1488" s="137"/>
    </row>
    <row r="1489">
      <c r="A1489" s="137"/>
      <c r="B1489" s="136"/>
      <c r="C1489" s="136"/>
      <c r="D1489" s="136"/>
      <c r="E1489" s="137"/>
      <c r="F1489" s="137"/>
    </row>
    <row r="1490">
      <c r="A1490" s="137"/>
      <c r="B1490" s="136"/>
      <c r="C1490" s="136"/>
      <c r="D1490" s="136"/>
      <c r="E1490" s="137"/>
      <c r="F1490" s="137"/>
    </row>
    <row r="1491">
      <c r="A1491" s="137"/>
      <c r="B1491" s="136"/>
      <c r="C1491" s="136"/>
      <c r="D1491" s="136"/>
      <c r="E1491" s="137"/>
      <c r="F1491" s="137"/>
    </row>
    <row r="1492">
      <c r="A1492" s="137"/>
      <c r="B1492" s="136"/>
      <c r="C1492" s="136"/>
      <c r="D1492" s="136"/>
      <c r="E1492" s="137"/>
      <c r="F1492" s="137"/>
    </row>
    <row r="1493">
      <c r="A1493" s="137"/>
      <c r="B1493" s="136"/>
      <c r="C1493" s="136"/>
      <c r="D1493" s="136"/>
      <c r="E1493" s="137"/>
      <c r="F1493" s="137"/>
    </row>
    <row r="1494">
      <c r="A1494" s="137"/>
      <c r="B1494" s="136"/>
      <c r="C1494" s="136"/>
      <c r="D1494" s="136"/>
      <c r="E1494" s="137"/>
      <c r="F1494" s="137"/>
    </row>
    <row r="1495">
      <c r="A1495" s="137"/>
      <c r="B1495" s="136"/>
      <c r="C1495" s="136"/>
      <c r="D1495" s="136"/>
      <c r="E1495" s="137"/>
      <c r="F1495" s="137"/>
    </row>
    <row r="1496">
      <c r="A1496" s="137"/>
      <c r="B1496" s="136"/>
      <c r="C1496" s="136"/>
      <c r="D1496" s="136"/>
      <c r="E1496" s="137"/>
      <c r="F1496" s="137"/>
    </row>
    <row r="1497">
      <c r="A1497" s="137"/>
      <c r="B1497" s="136"/>
      <c r="C1497" s="136"/>
      <c r="D1497" s="136"/>
      <c r="E1497" s="137"/>
      <c r="F1497" s="137"/>
    </row>
    <row r="1498">
      <c r="A1498" s="137"/>
      <c r="B1498" s="136"/>
      <c r="C1498" s="136"/>
      <c r="D1498" s="136"/>
      <c r="E1498" s="137"/>
      <c r="F1498" s="137"/>
    </row>
    <row r="1499">
      <c r="A1499" s="137"/>
      <c r="B1499" s="136"/>
      <c r="C1499" s="136"/>
      <c r="D1499" s="136"/>
      <c r="E1499" s="137"/>
      <c r="F1499" s="137"/>
    </row>
    <row r="1500">
      <c r="A1500" s="137"/>
      <c r="B1500" s="136"/>
      <c r="C1500" s="136"/>
      <c r="D1500" s="136"/>
      <c r="E1500" s="137"/>
      <c r="F1500" s="137"/>
    </row>
    <row r="1501">
      <c r="A1501" s="137"/>
      <c r="B1501" s="136"/>
      <c r="C1501" s="136"/>
      <c r="D1501" s="136"/>
      <c r="E1501" s="137"/>
      <c r="F1501" s="137"/>
    </row>
    <row r="1502">
      <c r="A1502" s="137"/>
      <c r="B1502" s="136"/>
      <c r="C1502" s="136"/>
      <c r="D1502" s="136"/>
      <c r="E1502" s="137"/>
      <c r="F1502" s="137"/>
    </row>
    <row r="1503">
      <c r="A1503" s="137"/>
      <c r="B1503" s="136"/>
      <c r="C1503" s="136"/>
      <c r="D1503" s="136"/>
      <c r="E1503" s="137"/>
      <c r="F1503" s="137"/>
    </row>
    <row r="1504">
      <c r="A1504" s="137"/>
      <c r="B1504" s="136"/>
      <c r="C1504" s="136"/>
      <c r="D1504" s="136"/>
      <c r="E1504" s="137"/>
      <c r="F1504" s="137"/>
    </row>
    <row r="1505">
      <c r="A1505" s="137"/>
      <c r="B1505" s="136"/>
      <c r="C1505" s="136"/>
      <c r="D1505" s="136"/>
      <c r="E1505" s="137"/>
      <c r="F1505" s="137"/>
    </row>
    <row r="1506">
      <c r="A1506" s="137"/>
      <c r="B1506" s="136"/>
      <c r="C1506" s="136"/>
      <c r="D1506" s="136"/>
      <c r="E1506" s="137"/>
      <c r="F1506" s="137"/>
    </row>
    <row r="1507">
      <c r="A1507" s="137"/>
      <c r="B1507" s="136"/>
      <c r="C1507" s="136"/>
      <c r="D1507" s="136"/>
      <c r="E1507" s="137"/>
      <c r="F1507" s="137"/>
    </row>
    <row r="1508">
      <c r="A1508" s="137"/>
      <c r="B1508" s="136"/>
      <c r="C1508" s="136"/>
      <c r="D1508" s="136"/>
      <c r="E1508" s="137"/>
      <c r="F1508" s="137"/>
    </row>
    <row r="1509">
      <c r="A1509" s="137"/>
      <c r="B1509" s="136"/>
      <c r="C1509" s="136"/>
      <c r="D1509" s="136"/>
      <c r="E1509" s="137"/>
      <c r="F1509" s="137"/>
    </row>
    <row r="1510">
      <c r="A1510" s="137"/>
      <c r="B1510" s="136"/>
      <c r="C1510" s="136"/>
      <c r="D1510" s="136"/>
      <c r="E1510" s="137"/>
      <c r="F1510" s="137"/>
    </row>
    <row r="1511">
      <c r="A1511" s="137"/>
      <c r="B1511" s="136"/>
      <c r="C1511" s="136"/>
      <c r="D1511" s="136"/>
      <c r="E1511" s="137"/>
      <c r="F1511" s="137"/>
    </row>
    <row r="1512">
      <c r="A1512" s="137"/>
      <c r="B1512" s="136"/>
      <c r="C1512" s="136"/>
      <c r="D1512" s="136"/>
      <c r="E1512" s="137"/>
      <c r="F1512" s="137"/>
    </row>
    <row r="1513">
      <c r="A1513" s="137"/>
      <c r="B1513" s="136"/>
      <c r="C1513" s="136"/>
      <c r="D1513" s="136"/>
      <c r="E1513" s="137"/>
      <c r="F1513" s="137"/>
    </row>
    <row r="1514">
      <c r="A1514" s="137"/>
      <c r="B1514" s="136"/>
      <c r="C1514" s="136"/>
      <c r="D1514" s="136"/>
      <c r="E1514" s="137"/>
      <c r="F1514" s="137"/>
    </row>
    <row r="1515">
      <c r="A1515" s="137"/>
      <c r="B1515" s="136"/>
      <c r="C1515" s="136"/>
      <c r="D1515" s="136"/>
      <c r="E1515" s="137"/>
      <c r="F1515" s="137"/>
    </row>
    <row r="1516">
      <c r="A1516" s="137"/>
      <c r="B1516" s="136"/>
      <c r="C1516" s="136"/>
      <c r="D1516" s="136"/>
      <c r="E1516" s="137"/>
      <c r="F1516" s="137"/>
    </row>
    <row r="1517">
      <c r="A1517" s="137"/>
      <c r="B1517" s="136"/>
      <c r="C1517" s="136"/>
      <c r="D1517" s="136"/>
      <c r="E1517" s="137"/>
      <c r="F1517" s="137"/>
    </row>
    <row r="1518">
      <c r="A1518" s="137"/>
      <c r="B1518" s="136"/>
      <c r="C1518" s="136"/>
      <c r="D1518" s="136"/>
      <c r="E1518" s="137"/>
      <c r="F1518" s="137"/>
    </row>
    <row r="1519">
      <c r="A1519" s="137"/>
      <c r="B1519" s="136"/>
      <c r="C1519" s="136"/>
      <c r="D1519" s="136"/>
      <c r="E1519" s="137"/>
      <c r="F1519" s="137"/>
    </row>
    <row r="1520">
      <c r="A1520" s="137"/>
      <c r="B1520" s="136"/>
      <c r="C1520" s="136"/>
      <c r="D1520" s="136"/>
      <c r="E1520" s="137"/>
      <c r="F1520" s="137"/>
    </row>
    <row r="1521">
      <c r="A1521" s="137"/>
      <c r="B1521" s="136"/>
      <c r="C1521" s="136"/>
      <c r="D1521" s="136"/>
      <c r="E1521" s="137"/>
      <c r="F1521" s="137"/>
    </row>
    <row r="1522">
      <c r="A1522" s="137"/>
      <c r="B1522" s="136"/>
      <c r="C1522" s="136"/>
      <c r="D1522" s="136"/>
      <c r="E1522" s="137"/>
      <c r="F1522" s="137"/>
    </row>
    <row r="1523">
      <c r="A1523" s="137"/>
      <c r="B1523" s="136"/>
      <c r="C1523" s="136"/>
      <c r="D1523" s="136"/>
      <c r="E1523" s="137"/>
      <c r="F1523" s="137"/>
    </row>
    <row r="1524">
      <c r="A1524" s="137"/>
      <c r="B1524" s="136"/>
      <c r="C1524" s="136"/>
      <c r="D1524" s="136"/>
      <c r="E1524" s="137"/>
      <c r="F1524" s="137"/>
    </row>
    <row r="1525">
      <c r="A1525" s="137"/>
      <c r="B1525" s="136"/>
      <c r="C1525" s="136"/>
      <c r="D1525" s="136"/>
      <c r="E1525" s="137"/>
      <c r="F1525" s="137"/>
    </row>
    <row r="1526">
      <c r="A1526" s="137"/>
      <c r="B1526" s="136"/>
      <c r="C1526" s="136"/>
      <c r="D1526" s="136"/>
      <c r="E1526" s="137"/>
      <c r="F1526" s="137"/>
    </row>
    <row r="1527">
      <c r="A1527" s="137"/>
      <c r="B1527" s="136"/>
      <c r="C1527" s="136"/>
      <c r="D1527" s="136"/>
      <c r="E1527" s="137"/>
      <c r="F1527" s="137"/>
    </row>
    <row r="1528">
      <c r="A1528" s="137"/>
      <c r="B1528" s="136"/>
      <c r="C1528" s="136"/>
      <c r="D1528" s="136"/>
      <c r="E1528" s="137"/>
      <c r="F1528" s="137"/>
    </row>
    <row r="1529">
      <c r="A1529" s="137"/>
      <c r="B1529" s="136"/>
      <c r="C1529" s="136"/>
      <c r="D1529" s="136"/>
      <c r="E1529" s="137"/>
      <c r="F1529" s="137"/>
    </row>
    <row r="1530">
      <c r="A1530" s="137"/>
      <c r="B1530" s="136"/>
      <c r="C1530" s="136"/>
      <c r="D1530" s="136"/>
      <c r="E1530" s="137"/>
      <c r="F1530" s="137"/>
    </row>
    <row r="1531">
      <c r="A1531" s="137"/>
      <c r="B1531" s="136"/>
      <c r="C1531" s="136"/>
      <c r="D1531" s="136"/>
      <c r="E1531" s="137"/>
      <c r="F1531" s="137"/>
    </row>
    <row r="1532">
      <c r="A1532" s="137"/>
      <c r="B1532" s="136"/>
      <c r="C1532" s="136"/>
      <c r="D1532" s="136"/>
      <c r="E1532" s="137"/>
      <c r="F1532" s="137"/>
    </row>
    <row r="1533">
      <c r="A1533" s="137"/>
      <c r="B1533" s="136"/>
      <c r="C1533" s="136"/>
      <c r="D1533" s="136"/>
      <c r="E1533" s="137"/>
      <c r="F1533" s="137"/>
    </row>
    <row r="1534">
      <c r="A1534" s="137"/>
      <c r="B1534" s="136"/>
      <c r="C1534" s="136"/>
      <c r="D1534" s="136"/>
      <c r="E1534" s="137"/>
      <c r="F1534" s="137"/>
    </row>
    <row r="1535">
      <c r="A1535" s="137"/>
      <c r="B1535" s="136"/>
      <c r="C1535" s="136"/>
      <c r="D1535" s="136"/>
      <c r="E1535" s="137"/>
      <c r="F1535" s="137"/>
    </row>
    <row r="1536">
      <c r="A1536" s="137"/>
      <c r="B1536" s="136"/>
      <c r="C1536" s="136"/>
      <c r="D1536" s="136"/>
      <c r="E1536" s="137"/>
      <c r="F1536" s="137"/>
    </row>
    <row r="1537">
      <c r="A1537" s="137"/>
      <c r="B1537" s="136"/>
      <c r="C1537" s="136"/>
      <c r="D1537" s="136"/>
      <c r="E1537" s="137"/>
      <c r="F1537" s="137"/>
    </row>
    <row r="1538">
      <c r="A1538" s="137"/>
      <c r="B1538" s="136"/>
      <c r="C1538" s="136"/>
      <c r="D1538" s="136"/>
      <c r="E1538" s="137"/>
      <c r="F1538" s="137"/>
    </row>
    <row r="1539">
      <c r="A1539" s="137"/>
      <c r="B1539" s="136"/>
      <c r="C1539" s="136"/>
      <c r="D1539" s="136"/>
      <c r="E1539" s="137"/>
      <c r="F1539" s="137"/>
    </row>
    <row r="1540">
      <c r="A1540" s="137"/>
      <c r="B1540" s="136"/>
      <c r="C1540" s="136"/>
      <c r="D1540" s="136"/>
      <c r="E1540" s="137"/>
      <c r="F1540" s="137"/>
    </row>
    <row r="1541">
      <c r="A1541" s="137"/>
      <c r="B1541" s="136"/>
      <c r="C1541" s="136"/>
      <c r="D1541" s="136"/>
      <c r="E1541" s="137"/>
      <c r="F1541" s="137"/>
    </row>
    <row r="1542">
      <c r="A1542" s="137"/>
      <c r="B1542" s="136"/>
      <c r="C1542" s="136"/>
      <c r="D1542" s="136"/>
      <c r="E1542" s="137"/>
      <c r="F1542" s="137"/>
    </row>
    <row r="1543">
      <c r="A1543" s="137"/>
      <c r="B1543" s="136"/>
      <c r="C1543" s="136"/>
      <c r="D1543" s="136"/>
      <c r="E1543" s="137"/>
      <c r="F1543" s="137"/>
    </row>
    <row r="1544">
      <c r="A1544" s="137"/>
      <c r="B1544" s="136"/>
      <c r="C1544" s="136"/>
      <c r="D1544" s="136"/>
      <c r="E1544" s="137"/>
      <c r="F1544" s="137"/>
    </row>
    <row r="1545">
      <c r="A1545" s="137"/>
      <c r="B1545" s="136"/>
      <c r="C1545" s="136"/>
      <c r="D1545" s="136"/>
      <c r="E1545" s="137"/>
      <c r="F1545" s="137"/>
    </row>
    <row r="1546">
      <c r="A1546" s="137"/>
      <c r="B1546" s="136"/>
      <c r="C1546" s="136"/>
      <c r="D1546" s="136"/>
      <c r="E1546" s="137"/>
      <c r="F1546" s="137"/>
    </row>
    <row r="1547">
      <c r="A1547" s="137"/>
      <c r="B1547" s="136"/>
      <c r="C1547" s="136"/>
      <c r="D1547" s="136"/>
      <c r="E1547" s="137"/>
      <c r="F1547" s="137"/>
    </row>
    <row r="1548">
      <c r="A1548" s="137"/>
      <c r="B1548" s="136"/>
      <c r="C1548" s="136"/>
      <c r="D1548" s="136"/>
      <c r="E1548" s="137"/>
      <c r="F1548" s="137"/>
    </row>
    <row r="1549">
      <c r="A1549" s="137"/>
      <c r="B1549" s="136"/>
      <c r="C1549" s="136"/>
      <c r="D1549" s="136"/>
      <c r="E1549" s="137"/>
      <c r="F1549" s="137"/>
    </row>
    <row r="1550">
      <c r="A1550" s="137"/>
      <c r="B1550" s="136"/>
      <c r="C1550" s="136"/>
      <c r="D1550" s="136"/>
      <c r="E1550" s="137"/>
      <c r="F1550" s="137"/>
    </row>
    <row r="1551">
      <c r="A1551" s="137"/>
      <c r="B1551" s="136"/>
      <c r="C1551" s="136"/>
      <c r="D1551" s="136"/>
      <c r="E1551" s="137"/>
      <c r="F1551" s="137"/>
    </row>
    <row r="1552">
      <c r="A1552" s="137"/>
      <c r="B1552" s="136"/>
      <c r="C1552" s="136"/>
      <c r="D1552" s="136"/>
      <c r="E1552" s="137"/>
      <c r="F1552" s="137"/>
    </row>
    <row r="1553">
      <c r="A1553" s="137"/>
      <c r="B1553" s="136"/>
      <c r="C1553" s="136"/>
      <c r="D1553" s="136"/>
      <c r="E1553" s="137"/>
      <c r="F1553" s="137"/>
    </row>
    <row r="1554">
      <c r="A1554" s="137"/>
      <c r="B1554" s="136"/>
      <c r="C1554" s="136"/>
      <c r="D1554" s="136"/>
      <c r="E1554" s="137"/>
      <c r="F1554" s="137"/>
    </row>
    <row r="1555">
      <c r="A1555" s="137"/>
      <c r="B1555" s="136"/>
      <c r="C1555" s="136"/>
      <c r="D1555" s="136"/>
      <c r="E1555" s="137"/>
      <c r="F1555" s="137"/>
    </row>
    <row r="1556">
      <c r="A1556" s="137"/>
      <c r="B1556" s="136"/>
      <c r="C1556" s="136"/>
      <c r="D1556" s="136"/>
      <c r="E1556" s="137"/>
      <c r="F1556" s="137"/>
    </row>
    <row r="1557">
      <c r="A1557" s="137"/>
      <c r="B1557" s="136"/>
      <c r="C1557" s="136"/>
      <c r="D1557" s="136"/>
      <c r="E1557" s="137"/>
      <c r="F1557" s="137"/>
    </row>
    <row r="1558">
      <c r="A1558" s="137"/>
      <c r="B1558" s="136"/>
      <c r="C1558" s="136"/>
      <c r="D1558" s="136"/>
      <c r="E1558" s="137"/>
      <c r="F1558" s="137"/>
    </row>
    <row r="1559">
      <c r="A1559" s="137"/>
      <c r="B1559" s="136"/>
      <c r="C1559" s="136"/>
      <c r="D1559" s="136"/>
      <c r="E1559" s="137"/>
      <c r="F1559" s="137"/>
    </row>
    <row r="1560">
      <c r="A1560" s="137"/>
      <c r="B1560" s="136"/>
      <c r="C1560" s="136"/>
      <c r="D1560" s="136"/>
      <c r="E1560" s="137"/>
      <c r="F1560" s="137"/>
    </row>
    <row r="1561">
      <c r="A1561" s="137"/>
      <c r="B1561" s="136"/>
      <c r="C1561" s="136"/>
      <c r="D1561" s="136"/>
      <c r="E1561" s="137"/>
      <c r="F1561" s="137"/>
    </row>
    <row r="1562">
      <c r="A1562" s="137"/>
      <c r="B1562" s="136"/>
      <c r="C1562" s="136"/>
      <c r="D1562" s="136"/>
      <c r="E1562" s="137"/>
      <c r="F1562" s="137"/>
    </row>
    <row r="1563">
      <c r="A1563" s="137"/>
      <c r="B1563" s="136"/>
      <c r="C1563" s="136"/>
      <c r="D1563" s="136"/>
      <c r="E1563" s="137"/>
      <c r="F1563" s="137"/>
    </row>
    <row r="1564">
      <c r="A1564" s="137"/>
      <c r="B1564" s="136"/>
      <c r="C1564" s="136"/>
      <c r="D1564" s="136"/>
      <c r="E1564" s="137"/>
      <c r="F1564" s="137"/>
    </row>
    <row r="1565">
      <c r="A1565" s="137"/>
      <c r="B1565" s="136"/>
      <c r="C1565" s="136"/>
      <c r="D1565" s="136"/>
      <c r="E1565" s="137"/>
      <c r="F1565" s="137"/>
    </row>
    <row r="1566">
      <c r="A1566" s="137"/>
      <c r="B1566" s="136"/>
      <c r="C1566" s="136"/>
      <c r="D1566" s="136"/>
      <c r="E1566" s="137"/>
      <c r="F1566" s="137"/>
    </row>
    <row r="1567">
      <c r="A1567" s="137"/>
      <c r="B1567" s="136"/>
      <c r="C1567" s="136"/>
      <c r="D1567" s="136"/>
      <c r="E1567" s="137"/>
      <c r="F1567" s="137"/>
    </row>
    <row r="1568">
      <c r="A1568" s="137"/>
      <c r="B1568" s="136"/>
      <c r="C1568" s="136"/>
      <c r="D1568" s="136"/>
      <c r="E1568" s="137"/>
      <c r="F1568" s="137"/>
    </row>
    <row r="1569">
      <c r="A1569" s="137"/>
      <c r="B1569" s="136"/>
      <c r="C1569" s="136"/>
      <c r="D1569" s="136"/>
      <c r="E1569" s="137"/>
      <c r="F1569" s="137"/>
    </row>
    <row r="1570">
      <c r="A1570" s="137"/>
      <c r="B1570" s="136"/>
      <c r="C1570" s="136"/>
      <c r="D1570" s="136"/>
      <c r="E1570" s="137"/>
      <c r="F1570" s="137"/>
    </row>
    <row r="1571">
      <c r="A1571" s="137"/>
      <c r="B1571" s="136"/>
      <c r="C1571" s="136"/>
      <c r="D1571" s="136"/>
      <c r="E1571" s="137"/>
      <c r="F1571" s="137"/>
    </row>
    <row r="1572">
      <c r="A1572" s="137"/>
      <c r="B1572" s="136"/>
      <c r="C1572" s="136"/>
      <c r="D1572" s="136"/>
      <c r="E1572" s="137"/>
      <c r="F1572" s="137"/>
    </row>
    <row r="1573">
      <c r="A1573" s="137"/>
      <c r="B1573" s="136"/>
      <c r="C1573" s="136"/>
      <c r="D1573" s="136"/>
      <c r="E1573" s="137"/>
      <c r="F1573" s="137"/>
    </row>
    <row r="1574">
      <c r="A1574" s="137"/>
      <c r="B1574" s="136"/>
      <c r="C1574" s="136"/>
      <c r="D1574" s="136"/>
      <c r="E1574" s="137"/>
      <c r="F1574" s="137"/>
    </row>
    <row r="1575">
      <c r="A1575" s="137"/>
      <c r="B1575" s="136"/>
      <c r="C1575" s="136"/>
      <c r="D1575" s="136"/>
      <c r="E1575" s="137"/>
      <c r="F1575" s="137"/>
    </row>
    <row r="1576">
      <c r="A1576" s="137"/>
      <c r="B1576" s="136"/>
      <c r="C1576" s="136"/>
      <c r="D1576" s="136"/>
      <c r="E1576" s="137"/>
      <c r="F1576" s="137"/>
    </row>
    <row r="1577">
      <c r="A1577" s="137"/>
      <c r="B1577" s="136"/>
      <c r="C1577" s="136"/>
      <c r="D1577" s="136"/>
      <c r="E1577" s="137"/>
      <c r="F1577" s="137"/>
    </row>
    <row r="1578">
      <c r="A1578" s="137"/>
      <c r="B1578" s="136"/>
      <c r="C1578" s="136"/>
      <c r="D1578" s="136"/>
      <c r="E1578" s="137"/>
      <c r="F1578" s="137"/>
    </row>
    <row r="1579">
      <c r="A1579" s="137"/>
      <c r="B1579" s="136"/>
      <c r="C1579" s="136"/>
      <c r="D1579" s="136"/>
      <c r="E1579" s="137"/>
      <c r="F1579" s="137"/>
    </row>
    <row r="1580">
      <c r="A1580" s="137"/>
      <c r="B1580" s="136"/>
      <c r="C1580" s="136"/>
      <c r="D1580" s="136"/>
      <c r="E1580" s="137"/>
      <c r="F1580" s="137"/>
    </row>
    <row r="1581">
      <c r="A1581" s="137"/>
      <c r="B1581" s="136"/>
      <c r="C1581" s="136"/>
      <c r="D1581" s="136"/>
      <c r="E1581" s="137"/>
      <c r="F1581" s="137"/>
    </row>
    <row r="1582">
      <c r="A1582" s="137"/>
      <c r="B1582" s="136"/>
      <c r="C1582" s="136"/>
      <c r="D1582" s="136"/>
      <c r="E1582" s="137"/>
      <c r="F1582" s="137"/>
    </row>
    <row r="1583">
      <c r="A1583" s="137"/>
      <c r="B1583" s="136"/>
      <c r="C1583" s="136"/>
      <c r="D1583" s="136"/>
      <c r="E1583" s="137"/>
      <c r="F1583" s="137"/>
    </row>
    <row r="1584">
      <c r="A1584" s="137"/>
      <c r="B1584" s="136"/>
      <c r="C1584" s="136"/>
      <c r="D1584" s="136"/>
      <c r="E1584" s="137"/>
      <c r="F1584" s="137"/>
    </row>
    <row r="1585">
      <c r="A1585" s="137"/>
      <c r="B1585" s="136"/>
      <c r="C1585" s="136"/>
      <c r="D1585" s="136"/>
      <c r="E1585" s="137"/>
      <c r="F1585" s="137"/>
    </row>
    <row r="1586">
      <c r="A1586" s="137"/>
      <c r="B1586" s="136"/>
      <c r="C1586" s="136"/>
      <c r="D1586" s="136"/>
      <c r="E1586" s="137"/>
      <c r="F1586" s="137"/>
    </row>
    <row r="1587">
      <c r="A1587" s="137"/>
      <c r="B1587" s="136"/>
      <c r="C1587" s="136"/>
      <c r="D1587" s="136"/>
      <c r="E1587" s="137"/>
      <c r="F1587" s="137"/>
    </row>
    <row r="1588">
      <c r="A1588" s="137"/>
      <c r="B1588" s="136"/>
      <c r="C1588" s="136"/>
      <c r="D1588" s="136"/>
      <c r="E1588" s="137"/>
      <c r="F1588" s="137"/>
    </row>
    <row r="1589">
      <c r="A1589" s="137"/>
      <c r="B1589" s="136"/>
      <c r="C1589" s="136"/>
      <c r="D1589" s="136"/>
      <c r="E1589" s="137"/>
      <c r="F1589" s="137"/>
    </row>
    <row r="1590">
      <c r="A1590" s="137"/>
      <c r="B1590" s="136"/>
      <c r="C1590" s="136"/>
      <c r="D1590" s="136"/>
      <c r="E1590" s="137"/>
      <c r="F1590" s="137"/>
    </row>
    <row r="1591">
      <c r="A1591" s="137"/>
      <c r="B1591" s="136"/>
      <c r="C1591" s="136"/>
      <c r="D1591" s="136"/>
      <c r="E1591" s="137"/>
      <c r="F1591" s="137"/>
    </row>
    <row r="1592">
      <c r="A1592" s="137"/>
      <c r="B1592" s="136"/>
      <c r="C1592" s="136"/>
      <c r="D1592" s="136"/>
      <c r="E1592" s="137"/>
      <c r="F1592" s="137"/>
    </row>
    <row r="1593">
      <c r="A1593" s="137"/>
      <c r="B1593" s="136"/>
      <c r="C1593" s="136"/>
      <c r="D1593" s="136"/>
      <c r="E1593" s="137"/>
      <c r="F1593" s="137"/>
    </row>
    <row r="1594">
      <c r="A1594" s="137"/>
      <c r="B1594" s="136"/>
      <c r="C1594" s="136"/>
      <c r="D1594" s="136"/>
      <c r="E1594" s="137"/>
      <c r="F1594" s="137"/>
    </row>
    <row r="1595">
      <c r="A1595" s="137"/>
      <c r="B1595" s="136"/>
      <c r="C1595" s="136"/>
      <c r="D1595" s="136"/>
      <c r="E1595" s="137"/>
      <c r="F1595" s="137"/>
    </row>
    <row r="1596">
      <c r="A1596" s="137"/>
      <c r="B1596" s="136"/>
      <c r="C1596" s="136"/>
      <c r="D1596" s="136"/>
      <c r="E1596" s="137"/>
      <c r="F1596" s="137"/>
    </row>
    <row r="1597">
      <c r="A1597" s="137"/>
      <c r="B1597" s="136"/>
      <c r="C1597" s="136"/>
      <c r="D1597" s="136"/>
      <c r="E1597" s="137"/>
      <c r="F1597" s="137"/>
    </row>
    <row r="1598">
      <c r="A1598" s="137"/>
      <c r="B1598" s="136"/>
      <c r="C1598" s="136"/>
      <c r="D1598" s="136"/>
      <c r="E1598" s="137"/>
      <c r="F1598" s="137"/>
    </row>
    <row r="1599">
      <c r="A1599" s="137"/>
      <c r="B1599" s="136"/>
      <c r="C1599" s="136"/>
      <c r="D1599" s="136"/>
      <c r="E1599" s="137"/>
      <c r="F1599" s="137"/>
    </row>
    <row r="1600">
      <c r="A1600" s="137"/>
      <c r="B1600" s="136"/>
      <c r="C1600" s="136"/>
      <c r="D1600" s="136"/>
      <c r="E1600" s="137"/>
      <c r="F1600" s="137"/>
    </row>
    <row r="1601">
      <c r="A1601" s="137"/>
      <c r="B1601" s="136"/>
      <c r="C1601" s="136"/>
      <c r="D1601" s="136"/>
      <c r="E1601" s="137"/>
      <c r="F1601" s="137"/>
    </row>
    <row r="1602">
      <c r="A1602" s="137"/>
      <c r="B1602" s="136"/>
      <c r="C1602" s="136"/>
      <c r="D1602" s="136"/>
      <c r="E1602" s="137"/>
      <c r="F1602" s="137"/>
    </row>
    <row r="1603">
      <c r="A1603" s="137"/>
      <c r="B1603" s="136"/>
      <c r="C1603" s="136"/>
      <c r="D1603" s="136"/>
      <c r="E1603" s="137"/>
      <c r="F1603" s="137"/>
    </row>
    <row r="1604">
      <c r="A1604" s="137"/>
      <c r="B1604" s="136"/>
      <c r="C1604" s="136"/>
      <c r="D1604" s="136"/>
      <c r="E1604" s="137"/>
      <c r="F1604" s="137"/>
    </row>
    <row r="1605">
      <c r="A1605" s="137"/>
      <c r="B1605" s="136"/>
      <c r="C1605" s="136"/>
      <c r="D1605" s="136"/>
      <c r="E1605" s="137"/>
      <c r="F1605" s="137"/>
    </row>
    <row r="1606">
      <c r="A1606" s="137"/>
      <c r="B1606" s="136"/>
      <c r="C1606" s="136"/>
      <c r="D1606" s="136"/>
      <c r="E1606" s="137"/>
      <c r="F1606" s="137"/>
    </row>
    <row r="1607">
      <c r="A1607" s="137"/>
      <c r="B1607" s="136"/>
      <c r="C1607" s="136"/>
      <c r="D1607" s="136"/>
      <c r="E1607" s="137"/>
      <c r="F1607" s="137"/>
    </row>
    <row r="1608">
      <c r="A1608" s="137"/>
      <c r="B1608" s="136"/>
      <c r="C1608" s="136"/>
      <c r="D1608" s="136"/>
      <c r="E1608" s="137"/>
      <c r="F1608" s="137"/>
    </row>
    <row r="1609">
      <c r="A1609" s="137"/>
      <c r="B1609" s="136"/>
      <c r="C1609" s="136"/>
      <c r="D1609" s="136"/>
      <c r="E1609" s="137"/>
      <c r="F1609" s="137"/>
    </row>
    <row r="1610">
      <c r="A1610" s="137"/>
      <c r="B1610" s="136"/>
      <c r="C1610" s="136"/>
      <c r="D1610" s="136"/>
      <c r="E1610" s="137"/>
      <c r="F1610" s="137"/>
    </row>
    <row r="1611">
      <c r="A1611" s="137"/>
      <c r="B1611" s="136"/>
      <c r="C1611" s="136"/>
      <c r="D1611" s="136"/>
      <c r="E1611" s="137"/>
      <c r="F1611" s="137"/>
    </row>
    <row r="1612">
      <c r="A1612" s="137"/>
      <c r="B1612" s="136"/>
      <c r="C1612" s="136"/>
      <c r="D1612" s="136"/>
      <c r="E1612" s="137"/>
      <c r="F1612" s="137"/>
    </row>
    <row r="1613">
      <c r="A1613" s="137"/>
      <c r="B1613" s="136"/>
      <c r="C1613" s="136"/>
      <c r="D1613" s="136"/>
      <c r="E1613" s="137"/>
      <c r="F1613" s="137"/>
    </row>
    <row r="1614">
      <c r="A1614" s="137"/>
      <c r="B1614" s="136"/>
      <c r="C1614" s="136"/>
      <c r="D1614" s="136"/>
      <c r="E1614" s="137"/>
      <c r="F1614" s="137"/>
    </row>
    <row r="1615">
      <c r="A1615" s="137"/>
      <c r="B1615" s="136"/>
      <c r="C1615" s="136"/>
      <c r="D1615" s="136"/>
      <c r="E1615" s="137"/>
      <c r="F1615" s="137"/>
    </row>
    <row r="1616">
      <c r="A1616" s="137"/>
      <c r="B1616" s="136"/>
      <c r="C1616" s="136"/>
      <c r="D1616" s="136"/>
      <c r="E1616" s="137"/>
      <c r="F1616" s="137"/>
    </row>
    <row r="1617">
      <c r="A1617" s="137"/>
      <c r="B1617" s="136"/>
      <c r="C1617" s="136"/>
      <c r="D1617" s="136"/>
      <c r="E1617" s="137"/>
      <c r="F1617" s="137"/>
    </row>
    <row r="1618">
      <c r="A1618" s="137"/>
      <c r="B1618" s="136"/>
      <c r="C1618" s="136"/>
      <c r="D1618" s="136"/>
      <c r="E1618" s="137"/>
      <c r="F1618" s="137"/>
    </row>
    <row r="1619">
      <c r="A1619" s="137"/>
      <c r="B1619" s="136"/>
      <c r="C1619" s="136"/>
      <c r="D1619" s="136"/>
      <c r="E1619" s="137"/>
      <c r="F1619" s="137"/>
    </row>
    <row r="1620">
      <c r="A1620" s="137"/>
      <c r="B1620" s="136"/>
      <c r="C1620" s="136"/>
      <c r="D1620" s="136"/>
      <c r="E1620" s="137"/>
      <c r="F1620" s="137"/>
    </row>
    <row r="1621">
      <c r="A1621" s="137"/>
      <c r="B1621" s="136"/>
      <c r="C1621" s="136"/>
      <c r="D1621" s="136"/>
      <c r="E1621" s="137"/>
      <c r="F1621" s="137"/>
    </row>
    <row r="1622">
      <c r="A1622" s="137"/>
      <c r="B1622" s="136"/>
      <c r="C1622" s="136"/>
      <c r="D1622" s="136"/>
      <c r="E1622" s="137"/>
      <c r="F1622" s="137"/>
    </row>
    <row r="1623">
      <c r="A1623" s="137"/>
      <c r="B1623" s="136"/>
      <c r="C1623" s="136"/>
      <c r="D1623" s="136"/>
      <c r="E1623" s="137"/>
      <c r="F1623" s="137"/>
    </row>
    <row r="1624">
      <c r="A1624" s="137"/>
      <c r="B1624" s="136"/>
      <c r="C1624" s="136"/>
      <c r="D1624" s="136"/>
      <c r="E1624" s="137"/>
      <c r="F1624" s="137"/>
    </row>
    <row r="1625">
      <c r="A1625" s="137"/>
      <c r="B1625" s="136"/>
      <c r="C1625" s="136"/>
      <c r="D1625" s="136"/>
      <c r="E1625" s="137"/>
      <c r="F1625" s="137"/>
    </row>
    <row r="1626">
      <c r="A1626" s="137"/>
      <c r="B1626" s="136"/>
      <c r="C1626" s="136"/>
      <c r="D1626" s="136"/>
      <c r="E1626" s="137"/>
      <c r="F1626" s="137"/>
    </row>
    <row r="1627">
      <c r="A1627" s="137"/>
      <c r="B1627" s="136"/>
      <c r="C1627" s="136"/>
      <c r="D1627" s="136"/>
      <c r="E1627" s="137"/>
      <c r="F1627" s="137"/>
    </row>
    <row r="1628">
      <c r="A1628" s="137"/>
      <c r="B1628" s="136"/>
      <c r="C1628" s="136"/>
      <c r="D1628" s="136"/>
      <c r="E1628" s="137"/>
      <c r="F1628" s="137"/>
    </row>
    <row r="1629">
      <c r="A1629" s="137"/>
      <c r="B1629" s="136"/>
      <c r="C1629" s="136"/>
      <c r="D1629" s="136"/>
      <c r="E1629" s="137"/>
      <c r="F1629" s="137"/>
    </row>
    <row r="1630">
      <c r="A1630" s="137"/>
      <c r="B1630" s="136"/>
      <c r="C1630" s="136"/>
      <c r="D1630" s="136"/>
      <c r="E1630" s="137"/>
      <c r="F1630" s="137"/>
    </row>
    <row r="1631">
      <c r="A1631" s="137"/>
      <c r="B1631" s="136"/>
      <c r="C1631" s="136"/>
      <c r="D1631" s="136"/>
      <c r="E1631" s="137"/>
      <c r="F1631" s="137"/>
    </row>
    <row r="1632">
      <c r="A1632" s="137"/>
      <c r="B1632" s="136"/>
      <c r="C1632" s="136"/>
      <c r="D1632" s="136"/>
      <c r="E1632" s="137"/>
      <c r="F1632" s="137"/>
    </row>
    <row r="1633">
      <c r="A1633" s="137"/>
      <c r="B1633" s="136"/>
      <c r="C1633" s="136"/>
      <c r="D1633" s="136"/>
      <c r="E1633" s="137"/>
      <c r="F1633" s="137"/>
    </row>
    <row r="1634">
      <c r="A1634" s="137"/>
      <c r="B1634" s="136"/>
      <c r="C1634" s="136"/>
      <c r="D1634" s="136"/>
      <c r="E1634" s="137"/>
      <c r="F1634" s="137"/>
    </row>
    <row r="1635">
      <c r="A1635" s="137"/>
      <c r="B1635" s="136"/>
      <c r="C1635" s="136"/>
      <c r="D1635" s="136"/>
      <c r="E1635" s="137"/>
      <c r="F1635" s="137"/>
    </row>
    <row r="1636">
      <c r="A1636" s="137"/>
      <c r="B1636" s="136"/>
      <c r="C1636" s="136"/>
      <c r="D1636" s="136"/>
      <c r="E1636" s="137"/>
      <c r="F1636" s="137"/>
    </row>
    <row r="1637">
      <c r="A1637" s="137"/>
      <c r="B1637" s="136"/>
      <c r="C1637" s="136"/>
      <c r="D1637" s="136"/>
      <c r="E1637" s="137"/>
      <c r="F1637" s="137"/>
    </row>
    <row r="1638">
      <c r="A1638" s="137"/>
      <c r="B1638" s="136"/>
      <c r="C1638" s="136"/>
      <c r="D1638" s="136"/>
      <c r="E1638" s="137"/>
      <c r="F1638" s="137"/>
    </row>
    <row r="1639">
      <c r="A1639" s="137"/>
      <c r="B1639" s="136"/>
      <c r="C1639" s="136"/>
      <c r="D1639" s="136"/>
      <c r="E1639" s="137"/>
      <c r="F1639" s="137"/>
    </row>
    <row r="1640">
      <c r="A1640" s="137"/>
      <c r="B1640" s="136"/>
      <c r="C1640" s="136"/>
      <c r="D1640" s="136"/>
      <c r="E1640" s="137"/>
      <c r="F1640" s="137"/>
    </row>
    <row r="1641">
      <c r="A1641" s="137"/>
      <c r="B1641" s="136"/>
      <c r="C1641" s="136"/>
      <c r="D1641" s="136"/>
      <c r="E1641" s="137"/>
      <c r="F1641" s="137"/>
    </row>
    <row r="1642">
      <c r="A1642" s="137"/>
      <c r="B1642" s="136"/>
      <c r="C1642" s="136"/>
      <c r="D1642" s="136"/>
      <c r="E1642" s="137"/>
      <c r="F1642" s="137"/>
    </row>
    <row r="1643">
      <c r="A1643" s="137"/>
      <c r="B1643" s="136"/>
      <c r="C1643" s="136"/>
      <c r="D1643" s="136"/>
      <c r="E1643" s="137"/>
      <c r="F1643" s="137"/>
    </row>
    <row r="1644">
      <c r="A1644" s="137"/>
      <c r="B1644" s="136"/>
      <c r="C1644" s="136"/>
      <c r="D1644" s="136"/>
      <c r="E1644" s="137"/>
      <c r="F1644" s="137"/>
    </row>
    <row r="1645">
      <c r="A1645" s="137"/>
      <c r="B1645" s="136"/>
      <c r="C1645" s="136"/>
      <c r="D1645" s="136"/>
      <c r="E1645" s="137"/>
      <c r="F1645" s="137"/>
    </row>
    <row r="1646">
      <c r="A1646" s="137"/>
      <c r="B1646" s="136"/>
      <c r="C1646" s="136"/>
      <c r="D1646" s="136"/>
      <c r="E1646" s="137"/>
      <c r="F1646" s="137"/>
    </row>
    <row r="1647">
      <c r="A1647" s="137"/>
      <c r="B1647" s="136"/>
      <c r="C1647" s="136"/>
      <c r="D1647" s="136"/>
      <c r="E1647" s="137"/>
      <c r="F1647" s="137"/>
    </row>
    <row r="1648">
      <c r="A1648" s="137"/>
      <c r="B1648" s="136"/>
      <c r="C1648" s="136"/>
      <c r="D1648" s="136"/>
      <c r="E1648" s="137"/>
      <c r="F1648" s="137"/>
    </row>
    <row r="1649">
      <c r="A1649" s="137"/>
      <c r="B1649" s="136"/>
      <c r="C1649" s="136"/>
      <c r="D1649" s="136"/>
      <c r="E1649" s="137"/>
      <c r="F1649" s="137"/>
    </row>
    <row r="1650">
      <c r="A1650" s="137"/>
      <c r="B1650" s="136"/>
      <c r="C1650" s="136"/>
      <c r="D1650" s="136"/>
      <c r="E1650" s="137"/>
      <c r="F1650" s="137"/>
    </row>
    <row r="1651">
      <c r="A1651" s="137"/>
      <c r="B1651" s="136"/>
      <c r="C1651" s="136"/>
      <c r="D1651" s="136"/>
      <c r="E1651" s="137"/>
      <c r="F1651" s="137"/>
    </row>
    <row r="1652">
      <c r="A1652" s="137"/>
      <c r="B1652" s="136"/>
      <c r="C1652" s="136"/>
      <c r="D1652" s="136"/>
      <c r="E1652" s="137"/>
      <c r="F1652" s="137"/>
    </row>
    <row r="1653">
      <c r="A1653" s="137"/>
      <c r="B1653" s="136"/>
      <c r="C1653" s="136"/>
      <c r="D1653" s="136"/>
      <c r="E1653" s="137"/>
      <c r="F1653" s="137"/>
    </row>
    <row r="1654">
      <c r="A1654" s="137"/>
      <c r="B1654" s="136"/>
      <c r="C1654" s="136"/>
      <c r="D1654" s="136"/>
      <c r="E1654" s="137"/>
      <c r="F1654" s="137"/>
    </row>
    <row r="1655">
      <c r="A1655" s="137"/>
      <c r="B1655" s="136"/>
      <c r="C1655" s="136"/>
      <c r="D1655" s="136"/>
      <c r="E1655" s="137"/>
      <c r="F1655" s="137"/>
    </row>
    <row r="1656">
      <c r="A1656" s="137"/>
      <c r="B1656" s="136"/>
      <c r="C1656" s="136"/>
      <c r="D1656" s="136"/>
      <c r="E1656" s="137"/>
      <c r="F1656" s="137"/>
    </row>
    <row r="1657">
      <c r="A1657" s="137"/>
      <c r="B1657" s="136"/>
      <c r="C1657" s="136"/>
      <c r="D1657" s="136"/>
      <c r="E1657" s="137"/>
      <c r="F1657" s="137"/>
    </row>
    <row r="1658">
      <c r="A1658" s="137"/>
      <c r="B1658" s="136"/>
      <c r="C1658" s="136"/>
      <c r="D1658" s="136"/>
      <c r="E1658" s="137"/>
      <c r="F1658" s="137"/>
    </row>
    <row r="1659">
      <c r="A1659" s="137"/>
      <c r="B1659" s="136"/>
      <c r="C1659" s="136"/>
      <c r="D1659" s="136"/>
      <c r="E1659" s="137"/>
      <c r="F1659" s="137"/>
    </row>
    <row r="1660">
      <c r="A1660" s="137"/>
      <c r="B1660" s="136"/>
      <c r="C1660" s="136"/>
      <c r="D1660" s="136"/>
      <c r="E1660" s="137"/>
      <c r="F1660" s="137"/>
    </row>
    <row r="1661">
      <c r="A1661" s="137"/>
      <c r="B1661" s="136"/>
      <c r="C1661" s="136"/>
      <c r="D1661" s="136"/>
      <c r="E1661" s="137"/>
      <c r="F1661" s="137"/>
    </row>
    <row r="1662">
      <c r="A1662" s="137"/>
      <c r="B1662" s="136"/>
      <c r="C1662" s="136"/>
      <c r="D1662" s="136"/>
      <c r="E1662" s="137"/>
      <c r="F1662" s="137"/>
    </row>
    <row r="1663">
      <c r="A1663" s="137"/>
      <c r="B1663" s="136"/>
      <c r="C1663" s="136"/>
      <c r="D1663" s="136"/>
      <c r="E1663" s="137"/>
      <c r="F1663" s="137"/>
    </row>
    <row r="1664">
      <c r="A1664" s="137"/>
      <c r="B1664" s="136"/>
      <c r="C1664" s="136"/>
      <c r="D1664" s="136"/>
      <c r="E1664" s="137"/>
      <c r="F1664" s="137"/>
    </row>
    <row r="1665">
      <c r="A1665" s="137"/>
      <c r="B1665" s="136"/>
      <c r="C1665" s="136"/>
      <c r="D1665" s="136"/>
      <c r="E1665" s="137"/>
      <c r="F1665" s="137"/>
    </row>
    <row r="1666">
      <c r="A1666" s="137"/>
      <c r="B1666" s="136"/>
      <c r="C1666" s="136"/>
      <c r="D1666" s="136"/>
      <c r="E1666" s="137"/>
      <c r="F1666" s="137"/>
    </row>
    <row r="1667">
      <c r="A1667" s="137"/>
      <c r="B1667" s="136"/>
      <c r="C1667" s="136"/>
      <c r="D1667" s="136"/>
      <c r="E1667" s="137"/>
      <c r="F1667" s="137"/>
    </row>
    <row r="1668">
      <c r="A1668" s="137"/>
      <c r="B1668" s="136"/>
      <c r="C1668" s="136"/>
      <c r="D1668" s="136"/>
      <c r="E1668" s="137"/>
      <c r="F1668" s="137"/>
    </row>
    <row r="1669">
      <c r="A1669" s="137"/>
      <c r="B1669" s="136"/>
      <c r="C1669" s="136"/>
      <c r="D1669" s="136"/>
      <c r="E1669" s="137"/>
      <c r="F1669" s="137"/>
    </row>
    <row r="1670">
      <c r="A1670" s="137"/>
      <c r="B1670" s="136"/>
      <c r="C1670" s="136"/>
      <c r="D1670" s="136"/>
      <c r="E1670" s="137"/>
      <c r="F1670" s="137"/>
    </row>
    <row r="1671">
      <c r="A1671" s="137"/>
      <c r="B1671" s="136"/>
      <c r="C1671" s="136"/>
      <c r="D1671" s="136"/>
      <c r="E1671" s="137"/>
      <c r="F1671" s="137"/>
    </row>
    <row r="1672">
      <c r="A1672" s="137"/>
      <c r="B1672" s="136"/>
      <c r="C1672" s="136"/>
      <c r="D1672" s="136"/>
      <c r="E1672" s="137"/>
      <c r="F1672" s="137"/>
    </row>
    <row r="1673">
      <c r="A1673" s="137"/>
      <c r="B1673" s="136"/>
      <c r="C1673" s="136"/>
      <c r="D1673" s="136"/>
      <c r="E1673" s="137"/>
      <c r="F1673" s="137"/>
    </row>
    <row r="1674">
      <c r="A1674" s="137"/>
      <c r="B1674" s="136"/>
      <c r="C1674" s="136"/>
      <c r="D1674" s="136"/>
      <c r="E1674" s="137"/>
      <c r="F1674" s="137"/>
    </row>
    <row r="1675">
      <c r="A1675" s="137"/>
      <c r="B1675" s="136"/>
      <c r="C1675" s="136"/>
      <c r="D1675" s="136"/>
      <c r="E1675" s="137"/>
      <c r="F1675" s="137"/>
    </row>
    <row r="1676">
      <c r="A1676" s="137"/>
      <c r="B1676" s="136"/>
      <c r="C1676" s="136"/>
      <c r="D1676" s="136"/>
      <c r="E1676" s="137"/>
      <c r="F1676" s="137"/>
    </row>
    <row r="1677">
      <c r="A1677" s="137"/>
      <c r="B1677" s="136"/>
      <c r="C1677" s="136"/>
      <c r="D1677" s="136"/>
      <c r="E1677" s="137"/>
      <c r="F1677" s="137"/>
    </row>
    <row r="1678">
      <c r="A1678" s="137"/>
      <c r="B1678" s="136"/>
      <c r="C1678" s="136"/>
      <c r="D1678" s="136"/>
      <c r="E1678" s="137"/>
      <c r="F1678" s="137"/>
    </row>
    <row r="1679">
      <c r="A1679" s="137"/>
      <c r="B1679" s="136"/>
      <c r="C1679" s="136"/>
      <c r="D1679" s="136"/>
      <c r="E1679" s="137"/>
      <c r="F1679" s="137"/>
    </row>
    <row r="1680">
      <c r="A1680" s="137"/>
      <c r="B1680" s="136"/>
      <c r="C1680" s="136"/>
      <c r="D1680" s="136"/>
      <c r="E1680" s="137"/>
      <c r="F1680" s="137"/>
    </row>
    <row r="1681">
      <c r="A1681" s="137"/>
      <c r="B1681" s="136"/>
      <c r="C1681" s="136"/>
      <c r="D1681" s="136"/>
      <c r="E1681" s="137"/>
      <c r="F1681" s="137"/>
    </row>
    <row r="1682">
      <c r="A1682" s="137"/>
      <c r="B1682" s="136"/>
      <c r="C1682" s="136"/>
      <c r="D1682" s="136"/>
      <c r="E1682" s="137"/>
      <c r="F1682" s="137"/>
    </row>
    <row r="1683">
      <c r="A1683" s="137"/>
      <c r="B1683" s="136"/>
      <c r="C1683" s="136"/>
      <c r="D1683" s="136"/>
      <c r="E1683" s="137"/>
      <c r="F1683" s="137"/>
    </row>
    <row r="1684">
      <c r="A1684" s="137"/>
      <c r="B1684" s="136"/>
      <c r="C1684" s="136"/>
      <c r="D1684" s="136"/>
      <c r="E1684" s="137"/>
      <c r="F1684" s="137"/>
    </row>
    <row r="1685">
      <c r="A1685" s="137"/>
      <c r="B1685" s="136"/>
      <c r="C1685" s="136"/>
      <c r="D1685" s="136"/>
      <c r="E1685" s="137"/>
      <c r="F1685" s="137"/>
    </row>
    <row r="1686">
      <c r="A1686" s="137"/>
      <c r="B1686" s="136"/>
      <c r="C1686" s="136"/>
      <c r="D1686" s="136"/>
      <c r="E1686" s="137"/>
      <c r="F1686" s="137"/>
    </row>
    <row r="1687">
      <c r="A1687" s="137"/>
      <c r="B1687" s="136"/>
      <c r="C1687" s="136"/>
      <c r="D1687" s="136"/>
      <c r="E1687" s="137"/>
      <c r="F1687" s="137"/>
    </row>
    <row r="1688">
      <c r="A1688" s="137"/>
      <c r="B1688" s="136"/>
      <c r="C1688" s="136"/>
      <c r="D1688" s="136"/>
      <c r="E1688" s="137"/>
      <c r="F1688" s="137"/>
    </row>
    <row r="1689">
      <c r="A1689" s="137"/>
      <c r="B1689" s="136"/>
      <c r="C1689" s="136"/>
      <c r="D1689" s="136"/>
      <c r="E1689" s="137"/>
      <c r="F1689" s="137"/>
    </row>
    <row r="1690">
      <c r="A1690" s="137"/>
      <c r="B1690" s="136"/>
      <c r="C1690" s="136"/>
      <c r="D1690" s="136"/>
      <c r="E1690" s="137"/>
      <c r="F1690" s="137"/>
    </row>
    <row r="1691">
      <c r="A1691" s="137"/>
      <c r="B1691" s="136"/>
      <c r="C1691" s="136"/>
      <c r="D1691" s="136"/>
      <c r="E1691" s="137"/>
      <c r="F1691" s="137"/>
    </row>
    <row r="1692">
      <c r="A1692" s="137"/>
      <c r="B1692" s="136"/>
      <c r="C1692" s="136"/>
      <c r="D1692" s="136"/>
      <c r="E1692" s="137"/>
      <c r="F1692" s="137"/>
    </row>
    <row r="1693">
      <c r="A1693" s="137"/>
      <c r="B1693" s="136"/>
      <c r="C1693" s="136"/>
      <c r="D1693" s="136"/>
      <c r="E1693" s="137"/>
      <c r="F1693" s="137"/>
    </row>
    <row r="1694">
      <c r="A1694" s="137"/>
      <c r="B1694" s="136"/>
      <c r="C1694" s="136"/>
      <c r="D1694" s="136"/>
      <c r="E1694" s="137"/>
      <c r="F1694" s="137"/>
    </row>
    <row r="1695">
      <c r="A1695" s="137"/>
      <c r="B1695" s="136"/>
      <c r="C1695" s="136"/>
      <c r="D1695" s="136"/>
      <c r="E1695" s="137"/>
      <c r="F1695" s="137"/>
    </row>
    <row r="1696">
      <c r="A1696" s="137"/>
      <c r="B1696" s="136"/>
      <c r="C1696" s="136"/>
      <c r="D1696" s="136"/>
      <c r="E1696" s="137"/>
      <c r="F1696" s="137"/>
    </row>
    <row r="1697">
      <c r="A1697" s="137"/>
      <c r="B1697" s="136"/>
      <c r="C1697" s="136"/>
      <c r="D1697" s="136"/>
      <c r="E1697" s="137"/>
      <c r="F1697" s="137"/>
    </row>
    <row r="1698">
      <c r="A1698" s="137"/>
      <c r="B1698" s="136"/>
      <c r="C1698" s="136"/>
      <c r="D1698" s="136"/>
      <c r="E1698" s="137"/>
      <c r="F1698" s="137"/>
    </row>
    <row r="1699">
      <c r="A1699" s="137"/>
      <c r="B1699" s="136"/>
      <c r="C1699" s="136"/>
      <c r="D1699" s="136"/>
      <c r="E1699" s="137"/>
      <c r="F1699" s="137"/>
    </row>
    <row r="1700">
      <c r="A1700" s="137"/>
      <c r="B1700" s="136"/>
      <c r="C1700" s="136"/>
      <c r="D1700" s="136"/>
      <c r="E1700" s="137"/>
      <c r="F1700" s="137"/>
    </row>
    <row r="1701">
      <c r="A1701" s="137"/>
      <c r="B1701" s="136"/>
      <c r="C1701" s="136"/>
      <c r="D1701" s="136"/>
      <c r="E1701" s="137"/>
      <c r="F1701" s="137"/>
    </row>
    <row r="1702">
      <c r="A1702" s="137"/>
      <c r="B1702" s="136"/>
      <c r="C1702" s="136"/>
      <c r="D1702" s="136"/>
      <c r="E1702" s="137"/>
      <c r="F1702" s="137"/>
    </row>
    <row r="1703">
      <c r="A1703" s="137"/>
      <c r="B1703" s="136"/>
      <c r="C1703" s="136"/>
      <c r="D1703" s="136"/>
      <c r="E1703" s="137"/>
      <c r="F1703" s="137"/>
    </row>
    <row r="1704">
      <c r="A1704" s="137"/>
      <c r="B1704" s="136"/>
      <c r="C1704" s="136"/>
      <c r="D1704" s="136"/>
      <c r="E1704" s="137"/>
      <c r="F1704" s="137"/>
    </row>
    <row r="1705">
      <c r="A1705" s="137"/>
      <c r="B1705" s="136"/>
      <c r="C1705" s="136"/>
      <c r="D1705" s="136"/>
      <c r="E1705" s="137"/>
      <c r="F1705" s="137"/>
    </row>
    <row r="1706">
      <c r="A1706" s="137"/>
      <c r="B1706" s="136"/>
      <c r="C1706" s="136"/>
      <c r="D1706" s="136"/>
      <c r="E1706" s="137"/>
      <c r="F1706" s="137"/>
    </row>
    <row r="1707">
      <c r="A1707" s="137"/>
      <c r="B1707" s="136"/>
      <c r="C1707" s="136"/>
      <c r="D1707" s="136"/>
      <c r="E1707" s="137"/>
      <c r="F1707" s="137"/>
    </row>
    <row r="1708">
      <c r="A1708" s="137"/>
      <c r="B1708" s="136"/>
      <c r="C1708" s="136"/>
      <c r="D1708" s="136"/>
      <c r="E1708" s="137"/>
      <c r="F1708" s="137"/>
    </row>
    <row r="1709">
      <c r="A1709" s="137"/>
      <c r="B1709" s="136"/>
      <c r="C1709" s="136"/>
      <c r="D1709" s="136"/>
      <c r="E1709" s="137"/>
      <c r="F1709" s="137"/>
    </row>
    <row r="1710">
      <c r="A1710" s="137"/>
      <c r="B1710" s="136"/>
      <c r="C1710" s="136"/>
      <c r="D1710" s="136"/>
      <c r="E1710" s="137"/>
      <c r="F1710" s="137"/>
    </row>
    <row r="1711">
      <c r="A1711" s="137"/>
      <c r="B1711" s="136"/>
      <c r="C1711" s="136"/>
      <c r="D1711" s="136"/>
      <c r="E1711" s="137"/>
      <c r="F1711" s="137"/>
    </row>
    <row r="1712">
      <c r="A1712" s="137"/>
      <c r="B1712" s="136"/>
      <c r="C1712" s="136"/>
      <c r="D1712" s="136"/>
      <c r="E1712" s="137"/>
      <c r="F1712" s="137"/>
    </row>
    <row r="1713">
      <c r="A1713" s="137"/>
      <c r="B1713" s="136"/>
      <c r="C1713" s="136"/>
      <c r="D1713" s="136"/>
      <c r="E1713" s="137"/>
      <c r="F1713" s="137"/>
    </row>
    <row r="1714">
      <c r="A1714" s="137"/>
      <c r="B1714" s="136"/>
      <c r="C1714" s="136"/>
      <c r="D1714" s="136"/>
      <c r="E1714" s="137"/>
      <c r="F1714" s="137"/>
    </row>
    <row r="1715">
      <c r="A1715" s="137"/>
      <c r="B1715" s="136"/>
      <c r="C1715" s="136"/>
      <c r="D1715" s="136"/>
      <c r="E1715" s="137"/>
      <c r="F1715" s="137"/>
    </row>
    <row r="1716">
      <c r="A1716" s="137"/>
      <c r="B1716" s="136"/>
      <c r="C1716" s="136"/>
      <c r="D1716" s="136"/>
      <c r="E1716" s="137"/>
      <c r="F1716" s="137"/>
    </row>
    <row r="1717">
      <c r="A1717" s="137"/>
      <c r="B1717" s="136"/>
      <c r="C1717" s="136"/>
      <c r="D1717" s="136"/>
      <c r="E1717" s="137"/>
      <c r="F1717" s="137"/>
    </row>
    <row r="1718">
      <c r="A1718" s="137"/>
      <c r="B1718" s="136"/>
      <c r="C1718" s="136"/>
      <c r="D1718" s="136"/>
      <c r="E1718" s="137"/>
      <c r="F1718" s="137"/>
    </row>
    <row r="1719">
      <c r="A1719" s="137"/>
      <c r="B1719" s="136"/>
      <c r="C1719" s="136"/>
      <c r="D1719" s="136"/>
      <c r="E1719" s="137"/>
      <c r="F1719" s="137"/>
    </row>
    <row r="1720">
      <c r="A1720" s="137"/>
      <c r="B1720" s="136"/>
      <c r="C1720" s="136"/>
      <c r="D1720" s="136"/>
      <c r="E1720" s="137"/>
      <c r="F1720" s="137"/>
    </row>
    <row r="1721">
      <c r="A1721" s="137"/>
      <c r="B1721" s="136"/>
      <c r="C1721" s="136"/>
      <c r="D1721" s="136"/>
      <c r="E1721" s="137"/>
      <c r="F1721" s="137"/>
    </row>
    <row r="1722">
      <c r="A1722" s="137"/>
      <c r="B1722" s="136"/>
      <c r="C1722" s="136"/>
      <c r="D1722" s="136"/>
      <c r="E1722" s="137"/>
      <c r="F1722" s="137"/>
    </row>
    <row r="1723">
      <c r="A1723" s="137"/>
      <c r="B1723" s="136"/>
      <c r="C1723" s="136"/>
      <c r="D1723" s="136"/>
      <c r="E1723" s="137"/>
      <c r="F1723" s="137"/>
    </row>
    <row r="1724">
      <c r="A1724" s="137"/>
      <c r="B1724" s="136"/>
      <c r="C1724" s="136"/>
      <c r="D1724" s="136"/>
      <c r="E1724" s="137"/>
      <c r="F1724" s="137"/>
    </row>
    <row r="1725">
      <c r="A1725" s="137"/>
      <c r="B1725" s="136"/>
      <c r="C1725" s="136"/>
      <c r="D1725" s="136"/>
      <c r="E1725" s="137"/>
      <c r="F1725" s="137"/>
    </row>
    <row r="1726">
      <c r="A1726" s="137"/>
      <c r="B1726" s="136"/>
      <c r="C1726" s="136"/>
      <c r="D1726" s="136"/>
      <c r="E1726" s="137"/>
      <c r="F1726" s="137"/>
    </row>
    <row r="1727">
      <c r="A1727" s="137"/>
      <c r="B1727" s="136"/>
      <c r="C1727" s="136"/>
      <c r="D1727" s="136"/>
      <c r="E1727" s="137"/>
      <c r="F1727" s="137"/>
    </row>
    <row r="1728">
      <c r="A1728" s="137"/>
      <c r="B1728" s="136"/>
      <c r="C1728" s="136"/>
      <c r="D1728" s="136"/>
      <c r="E1728" s="137"/>
      <c r="F1728" s="137"/>
    </row>
    <row r="1729">
      <c r="A1729" s="137"/>
      <c r="B1729" s="136"/>
      <c r="C1729" s="136"/>
      <c r="D1729" s="136"/>
      <c r="E1729" s="137"/>
      <c r="F1729" s="137"/>
    </row>
    <row r="1730">
      <c r="A1730" s="137"/>
      <c r="B1730" s="136"/>
      <c r="C1730" s="136"/>
      <c r="D1730" s="136"/>
      <c r="E1730" s="137"/>
      <c r="F1730" s="137"/>
    </row>
    <row r="1731">
      <c r="A1731" s="137"/>
      <c r="B1731" s="136"/>
      <c r="C1731" s="136"/>
      <c r="D1731" s="136"/>
      <c r="E1731" s="137"/>
      <c r="F1731" s="137"/>
    </row>
    <row r="1732">
      <c r="A1732" s="137"/>
      <c r="B1732" s="136"/>
      <c r="C1732" s="136"/>
      <c r="D1732" s="136"/>
      <c r="E1732" s="137"/>
      <c r="F1732" s="137"/>
    </row>
    <row r="1733">
      <c r="A1733" s="137"/>
      <c r="B1733" s="136"/>
      <c r="C1733" s="136"/>
      <c r="D1733" s="136"/>
      <c r="E1733" s="137"/>
      <c r="F1733" s="137"/>
    </row>
    <row r="1734">
      <c r="A1734" s="137"/>
      <c r="B1734" s="136"/>
      <c r="C1734" s="136"/>
      <c r="D1734" s="136"/>
      <c r="E1734" s="137"/>
      <c r="F1734" s="137"/>
    </row>
    <row r="1735">
      <c r="A1735" s="137"/>
      <c r="B1735" s="136"/>
      <c r="C1735" s="136"/>
      <c r="D1735" s="136"/>
      <c r="E1735" s="137"/>
      <c r="F1735" s="137"/>
    </row>
    <row r="1736">
      <c r="A1736" s="137"/>
      <c r="B1736" s="136"/>
      <c r="C1736" s="136"/>
      <c r="D1736" s="136"/>
      <c r="E1736" s="137"/>
      <c r="F1736" s="137"/>
    </row>
    <row r="1737">
      <c r="A1737" s="137"/>
      <c r="B1737" s="136"/>
      <c r="C1737" s="136"/>
      <c r="D1737" s="136"/>
      <c r="E1737" s="137"/>
      <c r="F1737" s="137"/>
    </row>
    <row r="1738">
      <c r="A1738" s="137"/>
      <c r="B1738" s="136"/>
      <c r="C1738" s="136"/>
      <c r="D1738" s="136"/>
      <c r="E1738" s="137"/>
      <c r="F1738" s="137"/>
    </row>
    <row r="1739">
      <c r="A1739" s="137"/>
      <c r="B1739" s="136"/>
      <c r="C1739" s="136"/>
      <c r="D1739" s="136"/>
      <c r="E1739" s="137"/>
      <c r="F1739" s="137"/>
    </row>
    <row r="1740">
      <c r="A1740" s="137"/>
      <c r="B1740" s="136"/>
      <c r="C1740" s="136"/>
      <c r="D1740" s="136"/>
      <c r="E1740" s="137"/>
      <c r="F1740" s="137"/>
    </row>
    <row r="1741">
      <c r="A1741" s="137"/>
      <c r="B1741" s="136"/>
      <c r="C1741" s="136"/>
      <c r="D1741" s="136"/>
      <c r="E1741" s="137"/>
      <c r="F1741" s="137"/>
    </row>
    <row r="1742">
      <c r="A1742" s="137"/>
      <c r="B1742" s="136"/>
      <c r="C1742" s="136"/>
      <c r="D1742" s="136"/>
      <c r="E1742" s="137"/>
      <c r="F1742" s="137"/>
    </row>
    <row r="1743">
      <c r="A1743" s="137"/>
      <c r="B1743" s="136"/>
      <c r="C1743" s="136"/>
      <c r="D1743" s="136"/>
      <c r="E1743" s="137"/>
      <c r="F1743" s="137"/>
    </row>
    <row r="1744">
      <c r="A1744" s="137"/>
      <c r="B1744" s="136"/>
      <c r="C1744" s="136"/>
      <c r="D1744" s="136"/>
      <c r="E1744" s="137"/>
      <c r="F1744" s="137"/>
    </row>
    <row r="1745">
      <c r="A1745" s="137"/>
      <c r="B1745" s="136"/>
      <c r="C1745" s="136"/>
      <c r="D1745" s="136"/>
      <c r="E1745" s="137"/>
      <c r="F1745" s="137"/>
    </row>
    <row r="1746">
      <c r="A1746" s="137"/>
      <c r="B1746" s="136"/>
      <c r="C1746" s="136"/>
      <c r="D1746" s="136"/>
      <c r="E1746" s="137"/>
      <c r="F1746" s="137"/>
    </row>
    <row r="1747">
      <c r="A1747" s="137"/>
      <c r="B1747" s="136"/>
      <c r="C1747" s="136"/>
      <c r="D1747" s="136"/>
      <c r="E1747" s="137"/>
      <c r="F1747" s="137"/>
    </row>
    <row r="1748">
      <c r="A1748" s="137"/>
      <c r="B1748" s="136"/>
      <c r="C1748" s="136"/>
      <c r="D1748" s="136"/>
      <c r="E1748" s="137"/>
      <c r="F1748" s="137"/>
    </row>
    <row r="1749">
      <c r="A1749" s="137"/>
      <c r="B1749" s="136"/>
      <c r="C1749" s="136"/>
      <c r="D1749" s="136"/>
      <c r="E1749" s="137"/>
      <c r="F1749" s="137"/>
    </row>
    <row r="1750">
      <c r="A1750" s="137"/>
      <c r="B1750" s="136"/>
      <c r="C1750" s="136"/>
      <c r="D1750" s="136"/>
      <c r="E1750" s="137"/>
      <c r="F1750" s="137"/>
    </row>
    <row r="1751">
      <c r="A1751" s="137"/>
      <c r="B1751" s="136"/>
      <c r="C1751" s="136"/>
      <c r="D1751" s="136"/>
      <c r="E1751" s="137"/>
      <c r="F1751" s="137"/>
    </row>
    <row r="1752">
      <c r="A1752" s="137"/>
      <c r="B1752" s="136"/>
      <c r="C1752" s="136"/>
      <c r="D1752" s="136"/>
      <c r="E1752" s="137"/>
      <c r="F1752" s="137"/>
    </row>
    <row r="1753">
      <c r="A1753" s="137"/>
      <c r="B1753" s="136"/>
      <c r="C1753" s="136"/>
      <c r="D1753" s="136"/>
      <c r="E1753" s="137"/>
      <c r="F1753" s="137"/>
    </row>
    <row r="1754">
      <c r="A1754" s="137"/>
      <c r="B1754" s="136"/>
      <c r="C1754" s="136"/>
      <c r="D1754" s="136"/>
      <c r="E1754" s="137"/>
      <c r="F1754" s="137"/>
    </row>
    <row r="1755">
      <c r="A1755" s="137"/>
      <c r="B1755" s="136"/>
      <c r="C1755" s="136"/>
      <c r="D1755" s="136"/>
      <c r="E1755" s="137"/>
      <c r="F1755" s="137"/>
    </row>
    <row r="1756">
      <c r="A1756" s="137"/>
      <c r="B1756" s="136"/>
      <c r="C1756" s="136"/>
      <c r="D1756" s="136"/>
      <c r="E1756" s="137"/>
      <c r="F1756" s="137"/>
    </row>
    <row r="1757">
      <c r="A1757" s="137"/>
      <c r="B1757" s="136"/>
      <c r="C1757" s="136"/>
      <c r="D1757" s="136"/>
      <c r="E1757" s="137"/>
      <c r="F1757" s="137"/>
    </row>
    <row r="1758">
      <c r="A1758" s="137"/>
      <c r="B1758" s="136"/>
      <c r="C1758" s="136"/>
      <c r="D1758" s="136"/>
      <c r="E1758" s="137"/>
      <c r="F1758" s="137"/>
    </row>
    <row r="1759">
      <c r="A1759" s="137"/>
      <c r="B1759" s="136"/>
      <c r="C1759" s="136"/>
      <c r="D1759" s="136"/>
      <c r="E1759" s="137"/>
      <c r="F1759" s="137"/>
    </row>
    <row r="1760">
      <c r="A1760" s="137"/>
      <c r="B1760" s="136"/>
      <c r="C1760" s="136"/>
      <c r="D1760" s="136"/>
      <c r="E1760" s="137"/>
      <c r="F1760" s="137"/>
    </row>
    <row r="1761">
      <c r="A1761" s="137"/>
      <c r="B1761" s="136"/>
      <c r="C1761" s="136"/>
      <c r="D1761" s="136"/>
      <c r="E1761" s="137"/>
      <c r="F1761" s="137"/>
    </row>
    <row r="1762">
      <c r="A1762" s="137"/>
      <c r="B1762" s="136"/>
      <c r="C1762" s="136"/>
      <c r="D1762" s="136"/>
      <c r="E1762" s="137"/>
      <c r="F1762" s="137"/>
    </row>
    <row r="1763">
      <c r="A1763" s="137"/>
      <c r="B1763" s="136"/>
      <c r="C1763" s="136"/>
      <c r="D1763" s="136"/>
      <c r="E1763" s="137"/>
      <c r="F1763" s="137"/>
    </row>
    <row r="1764">
      <c r="A1764" s="137"/>
      <c r="B1764" s="136"/>
      <c r="C1764" s="136"/>
      <c r="D1764" s="136"/>
      <c r="E1764" s="137"/>
      <c r="F1764" s="137"/>
    </row>
    <row r="1765">
      <c r="A1765" s="137"/>
      <c r="B1765" s="136"/>
      <c r="C1765" s="136"/>
      <c r="D1765" s="136"/>
      <c r="E1765" s="137"/>
      <c r="F1765" s="137"/>
    </row>
    <row r="1766">
      <c r="A1766" s="137"/>
      <c r="B1766" s="136"/>
      <c r="C1766" s="136"/>
      <c r="D1766" s="136"/>
      <c r="E1766" s="137"/>
      <c r="F1766" s="137"/>
    </row>
    <row r="1767">
      <c r="A1767" s="137"/>
      <c r="B1767" s="136"/>
      <c r="C1767" s="136"/>
      <c r="D1767" s="136"/>
      <c r="E1767" s="137"/>
      <c r="F1767" s="137"/>
    </row>
    <row r="1768">
      <c r="A1768" s="137"/>
      <c r="B1768" s="136"/>
      <c r="C1768" s="136"/>
      <c r="D1768" s="136"/>
      <c r="E1768" s="137"/>
      <c r="F1768" s="137"/>
    </row>
    <row r="1769">
      <c r="A1769" s="137"/>
      <c r="B1769" s="136"/>
      <c r="C1769" s="136"/>
      <c r="D1769" s="136"/>
      <c r="E1769" s="137"/>
      <c r="F1769" s="137"/>
    </row>
    <row r="1770">
      <c r="A1770" s="137"/>
      <c r="B1770" s="136"/>
      <c r="C1770" s="136"/>
      <c r="D1770" s="136"/>
      <c r="E1770" s="137"/>
      <c r="F1770" s="137"/>
    </row>
    <row r="1771">
      <c r="A1771" s="137"/>
      <c r="B1771" s="136"/>
      <c r="C1771" s="136"/>
      <c r="D1771" s="136"/>
      <c r="E1771" s="137"/>
      <c r="F1771" s="137"/>
    </row>
    <row r="1772">
      <c r="A1772" s="137"/>
      <c r="B1772" s="136"/>
      <c r="C1772" s="136"/>
      <c r="D1772" s="136"/>
      <c r="E1772" s="137"/>
      <c r="F1772" s="137"/>
    </row>
    <row r="1773">
      <c r="A1773" s="137"/>
      <c r="B1773" s="136"/>
      <c r="C1773" s="136"/>
      <c r="D1773" s="136"/>
      <c r="E1773" s="137"/>
      <c r="F1773" s="137"/>
    </row>
    <row r="1774">
      <c r="A1774" s="137"/>
      <c r="B1774" s="136"/>
      <c r="C1774" s="136"/>
      <c r="D1774" s="136"/>
      <c r="E1774" s="137"/>
      <c r="F1774" s="137"/>
    </row>
    <row r="1775">
      <c r="A1775" s="137"/>
      <c r="B1775" s="136"/>
      <c r="C1775" s="136"/>
      <c r="D1775" s="136"/>
      <c r="E1775" s="137"/>
      <c r="F1775" s="137"/>
    </row>
    <row r="1776">
      <c r="A1776" s="137"/>
      <c r="B1776" s="136"/>
      <c r="C1776" s="136"/>
      <c r="D1776" s="136"/>
      <c r="E1776" s="137"/>
      <c r="F1776" s="137"/>
    </row>
    <row r="1777">
      <c r="A1777" s="137"/>
      <c r="B1777" s="136"/>
      <c r="C1777" s="136"/>
      <c r="D1777" s="136"/>
      <c r="E1777" s="137"/>
      <c r="F1777" s="137"/>
    </row>
    <row r="1778">
      <c r="A1778" s="137"/>
      <c r="B1778" s="136"/>
      <c r="C1778" s="136"/>
      <c r="D1778" s="136"/>
      <c r="E1778" s="137"/>
      <c r="F1778" s="137"/>
    </row>
    <row r="1779">
      <c r="A1779" s="137"/>
      <c r="B1779" s="136"/>
      <c r="C1779" s="136"/>
      <c r="D1779" s="136"/>
      <c r="E1779" s="137"/>
      <c r="F1779" s="137"/>
    </row>
    <row r="1780">
      <c r="A1780" s="137"/>
      <c r="B1780" s="136"/>
      <c r="C1780" s="136"/>
      <c r="D1780" s="136"/>
      <c r="E1780" s="137"/>
      <c r="F1780" s="137"/>
    </row>
    <row r="1781">
      <c r="A1781" s="137"/>
      <c r="B1781" s="136"/>
      <c r="C1781" s="136"/>
      <c r="D1781" s="136"/>
      <c r="E1781" s="137"/>
      <c r="F1781" s="137"/>
    </row>
    <row r="1782">
      <c r="A1782" s="137"/>
      <c r="B1782" s="136"/>
      <c r="C1782" s="136"/>
      <c r="D1782" s="136"/>
      <c r="E1782" s="137"/>
      <c r="F1782" s="137"/>
    </row>
    <row r="1783">
      <c r="A1783" s="137"/>
      <c r="B1783" s="136"/>
      <c r="C1783" s="136"/>
      <c r="D1783" s="136"/>
      <c r="E1783" s="137"/>
      <c r="F1783" s="137"/>
    </row>
    <row r="1784">
      <c r="A1784" s="137"/>
      <c r="B1784" s="136"/>
      <c r="C1784" s="136"/>
      <c r="D1784" s="136"/>
      <c r="E1784" s="137"/>
      <c r="F1784" s="137"/>
    </row>
    <row r="1785">
      <c r="A1785" s="137"/>
      <c r="B1785" s="136"/>
      <c r="C1785" s="136"/>
      <c r="D1785" s="136"/>
      <c r="E1785" s="137"/>
      <c r="F1785" s="137"/>
    </row>
    <row r="1786">
      <c r="A1786" s="137"/>
      <c r="B1786" s="136"/>
      <c r="C1786" s="136"/>
      <c r="D1786" s="136"/>
      <c r="E1786" s="137"/>
      <c r="F1786" s="137"/>
    </row>
    <row r="1787">
      <c r="A1787" s="137"/>
      <c r="B1787" s="136"/>
      <c r="C1787" s="136"/>
      <c r="D1787" s="136"/>
      <c r="E1787" s="137"/>
      <c r="F1787" s="137"/>
    </row>
    <row r="1788">
      <c r="A1788" s="137"/>
      <c r="B1788" s="136"/>
      <c r="C1788" s="136"/>
      <c r="D1788" s="136"/>
      <c r="E1788" s="137"/>
      <c r="F1788" s="137"/>
    </row>
    <row r="1789">
      <c r="A1789" s="137"/>
      <c r="B1789" s="136"/>
      <c r="C1789" s="136"/>
      <c r="D1789" s="136"/>
      <c r="E1789" s="137"/>
      <c r="F1789" s="137"/>
    </row>
    <row r="1790">
      <c r="A1790" s="137"/>
      <c r="B1790" s="136"/>
      <c r="C1790" s="136"/>
      <c r="D1790" s="136"/>
      <c r="E1790" s="137"/>
      <c r="F1790" s="137"/>
    </row>
    <row r="1791">
      <c r="A1791" s="137"/>
      <c r="B1791" s="136"/>
      <c r="C1791" s="136"/>
      <c r="D1791" s="136"/>
      <c r="E1791" s="137"/>
      <c r="F1791" s="137"/>
    </row>
    <row r="1792">
      <c r="A1792" s="137"/>
      <c r="B1792" s="136"/>
      <c r="C1792" s="136"/>
      <c r="D1792" s="136"/>
      <c r="E1792" s="137"/>
      <c r="F1792" s="137"/>
    </row>
    <row r="1793">
      <c r="A1793" s="137"/>
      <c r="B1793" s="136"/>
      <c r="C1793" s="136"/>
      <c r="D1793" s="136"/>
      <c r="E1793" s="137"/>
      <c r="F1793" s="137"/>
    </row>
    <row r="1794">
      <c r="A1794" s="137"/>
      <c r="B1794" s="136"/>
      <c r="C1794" s="136"/>
      <c r="D1794" s="136"/>
      <c r="E1794" s="137"/>
      <c r="F1794" s="137"/>
    </row>
    <row r="1795">
      <c r="A1795" s="137"/>
      <c r="B1795" s="136"/>
      <c r="C1795" s="136"/>
      <c r="D1795" s="136"/>
      <c r="E1795" s="137"/>
      <c r="F1795" s="137"/>
    </row>
    <row r="1796">
      <c r="A1796" s="137"/>
      <c r="B1796" s="136"/>
      <c r="C1796" s="136"/>
      <c r="D1796" s="136"/>
      <c r="E1796" s="137"/>
      <c r="F1796" s="137"/>
    </row>
    <row r="1797">
      <c r="A1797" s="137"/>
      <c r="B1797" s="136"/>
      <c r="C1797" s="136"/>
      <c r="D1797" s="136"/>
      <c r="E1797" s="137"/>
      <c r="F1797" s="137"/>
    </row>
    <row r="1798">
      <c r="A1798" s="137"/>
      <c r="B1798" s="136"/>
      <c r="C1798" s="136"/>
      <c r="D1798" s="136"/>
      <c r="E1798" s="137"/>
      <c r="F1798" s="137"/>
    </row>
    <row r="1799">
      <c r="A1799" s="137"/>
      <c r="B1799" s="136"/>
      <c r="C1799" s="136"/>
      <c r="D1799" s="136"/>
      <c r="E1799" s="137"/>
      <c r="F1799" s="137"/>
    </row>
    <row r="1800">
      <c r="A1800" s="137"/>
      <c r="B1800" s="136"/>
      <c r="C1800" s="136"/>
      <c r="D1800" s="136"/>
      <c r="E1800" s="137"/>
      <c r="F1800" s="137"/>
    </row>
    <row r="1801">
      <c r="A1801" s="137"/>
      <c r="B1801" s="136"/>
      <c r="C1801" s="136"/>
      <c r="D1801" s="136"/>
      <c r="E1801" s="137"/>
      <c r="F1801" s="137"/>
    </row>
    <row r="1802">
      <c r="A1802" s="137"/>
      <c r="B1802" s="136"/>
      <c r="C1802" s="136"/>
      <c r="D1802" s="136"/>
      <c r="E1802" s="137"/>
      <c r="F1802" s="137"/>
    </row>
    <row r="1803">
      <c r="A1803" s="137"/>
      <c r="B1803" s="136"/>
      <c r="C1803" s="136"/>
      <c r="D1803" s="136"/>
      <c r="E1803" s="137"/>
      <c r="F1803" s="137"/>
    </row>
    <row r="1804">
      <c r="A1804" s="137"/>
      <c r="B1804" s="136"/>
      <c r="C1804" s="136"/>
      <c r="D1804" s="136"/>
      <c r="E1804" s="137"/>
      <c r="F1804" s="137"/>
    </row>
    <row r="1805">
      <c r="A1805" s="137"/>
      <c r="B1805" s="136"/>
      <c r="C1805" s="136"/>
      <c r="D1805" s="136"/>
      <c r="E1805" s="137"/>
      <c r="F1805" s="137"/>
    </row>
    <row r="1806">
      <c r="A1806" s="137"/>
      <c r="B1806" s="136"/>
      <c r="C1806" s="136"/>
      <c r="D1806" s="136"/>
      <c r="E1806" s="137"/>
      <c r="F1806" s="137"/>
    </row>
    <row r="1807">
      <c r="A1807" s="137"/>
      <c r="B1807" s="136"/>
      <c r="C1807" s="136"/>
      <c r="D1807" s="136"/>
      <c r="E1807" s="137"/>
      <c r="F1807" s="137"/>
    </row>
    <row r="1808">
      <c r="A1808" s="137"/>
      <c r="B1808" s="136"/>
      <c r="C1808" s="136"/>
      <c r="D1808" s="136"/>
      <c r="E1808" s="137"/>
      <c r="F1808" s="137"/>
    </row>
    <row r="1809">
      <c r="A1809" s="137"/>
      <c r="B1809" s="136"/>
      <c r="C1809" s="136"/>
      <c r="D1809" s="136"/>
      <c r="E1809" s="137"/>
      <c r="F1809" s="137"/>
    </row>
    <row r="1810">
      <c r="A1810" s="137"/>
      <c r="B1810" s="136"/>
      <c r="C1810" s="136"/>
      <c r="D1810" s="136"/>
      <c r="E1810" s="137"/>
      <c r="F1810" s="137"/>
    </row>
    <row r="1811">
      <c r="A1811" s="137"/>
      <c r="B1811" s="136"/>
      <c r="C1811" s="136"/>
      <c r="D1811" s="136"/>
      <c r="E1811" s="137"/>
      <c r="F1811" s="137"/>
    </row>
    <row r="1812">
      <c r="A1812" s="137"/>
      <c r="B1812" s="136"/>
      <c r="C1812" s="136"/>
      <c r="D1812" s="136"/>
      <c r="E1812" s="137"/>
      <c r="F1812" s="137"/>
    </row>
    <row r="1813">
      <c r="A1813" s="137"/>
      <c r="B1813" s="136"/>
      <c r="C1813" s="136"/>
      <c r="D1813" s="136"/>
      <c r="E1813" s="137"/>
      <c r="F1813" s="137"/>
    </row>
    <row r="1814">
      <c r="A1814" s="137"/>
      <c r="B1814" s="136"/>
      <c r="C1814" s="136"/>
      <c r="D1814" s="136"/>
      <c r="E1814" s="137"/>
      <c r="F1814" s="137"/>
    </row>
    <row r="1815">
      <c r="A1815" s="137"/>
      <c r="B1815" s="136"/>
      <c r="C1815" s="136"/>
      <c r="D1815" s="136"/>
      <c r="E1815" s="137"/>
      <c r="F1815" s="137"/>
    </row>
    <row r="1816">
      <c r="A1816" s="137"/>
      <c r="B1816" s="136"/>
      <c r="C1816" s="136"/>
      <c r="D1816" s="136"/>
      <c r="E1816" s="137"/>
      <c r="F1816" s="137"/>
    </row>
    <row r="1817">
      <c r="A1817" s="137"/>
      <c r="B1817" s="136"/>
      <c r="C1817" s="136"/>
      <c r="D1817" s="136"/>
      <c r="E1817" s="137"/>
      <c r="F1817" s="137"/>
    </row>
    <row r="1818">
      <c r="A1818" s="137"/>
      <c r="B1818" s="136"/>
      <c r="C1818" s="136"/>
      <c r="D1818" s="136"/>
      <c r="E1818" s="137"/>
      <c r="F1818" s="137"/>
    </row>
    <row r="1819">
      <c r="A1819" s="137"/>
      <c r="B1819" s="136"/>
      <c r="C1819" s="136"/>
      <c r="D1819" s="136"/>
      <c r="E1819" s="137"/>
      <c r="F1819" s="137"/>
    </row>
    <row r="1820">
      <c r="A1820" s="137"/>
      <c r="B1820" s="136"/>
      <c r="C1820" s="136"/>
      <c r="D1820" s="136"/>
      <c r="E1820" s="137"/>
      <c r="F1820" s="137"/>
    </row>
    <row r="1821">
      <c r="A1821" s="137"/>
      <c r="B1821" s="136"/>
      <c r="C1821" s="136"/>
      <c r="D1821" s="136"/>
      <c r="E1821" s="137"/>
      <c r="F1821" s="137"/>
    </row>
    <row r="1822">
      <c r="A1822" s="137"/>
      <c r="B1822" s="136"/>
      <c r="C1822" s="136"/>
      <c r="D1822" s="136"/>
      <c r="E1822" s="137"/>
      <c r="F1822" s="137"/>
    </row>
    <row r="1823">
      <c r="A1823" s="137"/>
      <c r="B1823" s="136"/>
      <c r="C1823" s="136"/>
      <c r="D1823" s="136"/>
      <c r="E1823" s="137"/>
      <c r="F1823" s="137"/>
    </row>
    <row r="1824">
      <c r="A1824" s="137"/>
      <c r="B1824" s="136"/>
      <c r="C1824" s="136"/>
      <c r="D1824" s="136"/>
      <c r="E1824" s="137"/>
      <c r="F1824" s="137"/>
    </row>
    <row r="1825">
      <c r="A1825" s="137"/>
      <c r="B1825" s="136"/>
      <c r="C1825" s="136"/>
      <c r="D1825" s="136"/>
      <c r="E1825" s="137"/>
      <c r="F1825" s="137"/>
    </row>
    <row r="1826">
      <c r="A1826" s="137"/>
      <c r="B1826" s="136"/>
      <c r="C1826" s="136"/>
      <c r="D1826" s="136"/>
      <c r="E1826" s="137"/>
      <c r="F1826" s="137"/>
    </row>
    <row r="1827">
      <c r="A1827" s="137"/>
      <c r="B1827" s="136"/>
      <c r="C1827" s="136"/>
      <c r="D1827" s="136"/>
      <c r="E1827" s="137"/>
      <c r="F1827" s="137"/>
    </row>
    <row r="1828">
      <c r="A1828" s="137"/>
      <c r="B1828" s="136"/>
      <c r="C1828" s="136"/>
      <c r="D1828" s="136"/>
      <c r="E1828" s="137"/>
      <c r="F1828" s="137"/>
    </row>
    <row r="1829">
      <c r="A1829" s="137"/>
      <c r="B1829" s="136"/>
      <c r="C1829" s="136"/>
      <c r="D1829" s="136"/>
      <c r="E1829" s="137"/>
      <c r="F1829" s="137"/>
    </row>
    <row r="1830">
      <c r="A1830" s="137"/>
      <c r="B1830" s="136"/>
      <c r="C1830" s="136"/>
      <c r="D1830" s="136"/>
      <c r="E1830" s="137"/>
      <c r="F1830" s="137"/>
    </row>
    <row r="1831">
      <c r="A1831" s="137"/>
      <c r="B1831" s="136"/>
      <c r="C1831" s="136"/>
      <c r="D1831" s="136"/>
      <c r="E1831" s="137"/>
      <c r="F1831" s="137"/>
    </row>
    <row r="1832">
      <c r="A1832" s="137"/>
      <c r="B1832" s="136"/>
      <c r="C1832" s="136"/>
      <c r="D1832" s="136"/>
      <c r="E1832" s="137"/>
      <c r="F1832" s="137"/>
    </row>
    <row r="1833">
      <c r="A1833" s="137"/>
      <c r="B1833" s="136"/>
      <c r="C1833" s="136"/>
      <c r="D1833" s="136"/>
      <c r="E1833" s="137"/>
      <c r="F1833" s="137"/>
    </row>
    <row r="1834">
      <c r="A1834" s="137"/>
      <c r="B1834" s="136"/>
      <c r="C1834" s="136"/>
      <c r="D1834" s="136"/>
      <c r="E1834" s="137"/>
      <c r="F1834" s="137"/>
    </row>
    <row r="1835">
      <c r="A1835" s="137"/>
      <c r="B1835" s="136"/>
      <c r="C1835" s="136"/>
      <c r="D1835" s="136"/>
      <c r="E1835" s="137"/>
      <c r="F1835" s="137"/>
    </row>
    <row r="1836">
      <c r="A1836" s="137"/>
      <c r="B1836" s="136"/>
      <c r="C1836" s="136"/>
      <c r="D1836" s="136"/>
      <c r="E1836" s="137"/>
      <c r="F1836" s="137"/>
    </row>
    <row r="1837">
      <c r="A1837" s="137"/>
      <c r="B1837" s="136"/>
      <c r="C1837" s="136"/>
      <c r="D1837" s="136"/>
      <c r="E1837" s="137"/>
      <c r="F1837" s="137"/>
    </row>
    <row r="1838">
      <c r="A1838" s="137"/>
      <c r="B1838" s="136"/>
      <c r="C1838" s="136"/>
      <c r="D1838" s="136"/>
      <c r="E1838" s="137"/>
      <c r="F1838" s="137"/>
    </row>
    <row r="1839">
      <c r="A1839" s="137"/>
      <c r="B1839" s="136"/>
      <c r="C1839" s="136"/>
      <c r="D1839" s="136"/>
      <c r="E1839" s="137"/>
      <c r="F1839" s="137"/>
    </row>
    <row r="1840">
      <c r="A1840" s="137"/>
      <c r="B1840" s="136"/>
      <c r="C1840" s="136"/>
      <c r="D1840" s="136"/>
      <c r="E1840" s="137"/>
      <c r="F1840" s="137"/>
    </row>
    <row r="1841">
      <c r="A1841" s="137"/>
      <c r="B1841" s="136"/>
      <c r="C1841" s="136"/>
      <c r="D1841" s="136"/>
      <c r="E1841" s="137"/>
      <c r="F1841" s="137"/>
    </row>
    <row r="1842">
      <c r="A1842" s="137"/>
      <c r="B1842" s="136"/>
      <c r="C1842" s="136"/>
      <c r="D1842" s="136"/>
      <c r="E1842" s="137"/>
      <c r="F1842" s="137"/>
    </row>
    <row r="1843">
      <c r="A1843" s="137"/>
      <c r="B1843" s="136"/>
      <c r="C1843" s="136"/>
      <c r="D1843" s="136"/>
      <c r="E1843" s="137"/>
      <c r="F1843" s="137"/>
    </row>
    <row r="1844">
      <c r="A1844" s="137"/>
      <c r="B1844" s="136"/>
      <c r="C1844" s="136"/>
      <c r="D1844" s="136"/>
      <c r="E1844" s="137"/>
      <c r="F1844" s="137"/>
    </row>
    <row r="1845">
      <c r="A1845" s="137"/>
      <c r="B1845" s="136"/>
      <c r="C1845" s="136"/>
      <c r="D1845" s="136"/>
      <c r="E1845" s="137"/>
      <c r="F1845" s="137"/>
    </row>
    <row r="1846">
      <c r="A1846" s="137"/>
      <c r="B1846" s="136"/>
      <c r="C1846" s="136"/>
      <c r="D1846" s="136"/>
      <c r="E1846" s="137"/>
      <c r="F1846" s="137"/>
    </row>
    <row r="1847">
      <c r="A1847" s="137"/>
      <c r="B1847" s="136"/>
      <c r="C1847" s="136"/>
      <c r="D1847" s="136"/>
      <c r="E1847" s="137"/>
      <c r="F1847" s="137"/>
    </row>
    <row r="1848">
      <c r="A1848" s="137"/>
      <c r="B1848" s="136"/>
      <c r="C1848" s="136"/>
      <c r="D1848" s="136"/>
      <c r="E1848" s="137"/>
      <c r="F1848" s="137"/>
    </row>
    <row r="1849">
      <c r="A1849" s="137"/>
      <c r="B1849" s="136"/>
      <c r="C1849" s="136"/>
      <c r="D1849" s="136"/>
      <c r="E1849" s="137"/>
      <c r="F1849" s="137"/>
    </row>
    <row r="1850">
      <c r="A1850" s="137"/>
      <c r="B1850" s="136"/>
      <c r="C1850" s="136"/>
      <c r="D1850" s="136"/>
      <c r="E1850" s="137"/>
      <c r="F1850" s="137"/>
    </row>
    <row r="1851">
      <c r="A1851" s="137"/>
      <c r="B1851" s="136"/>
      <c r="C1851" s="136"/>
      <c r="D1851" s="136"/>
      <c r="E1851" s="137"/>
      <c r="F1851" s="137"/>
    </row>
    <row r="1852">
      <c r="A1852" s="137"/>
      <c r="B1852" s="136"/>
      <c r="C1852" s="136"/>
      <c r="D1852" s="136"/>
      <c r="E1852" s="137"/>
      <c r="F1852" s="137"/>
    </row>
    <row r="1853">
      <c r="A1853" s="137"/>
      <c r="B1853" s="136"/>
      <c r="C1853" s="136"/>
      <c r="D1853" s="136"/>
      <c r="E1853" s="137"/>
      <c r="F1853" s="137"/>
    </row>
    <row r="1854">
      <c r="A1854" s="137"/>
      <c r="B1854" s="136"/>
      <c r="C1854" s="136"/>
      <c r="D1854" s="136"/>
      <c r="E1854" s="137"/>
      <c r="F1854" s="137"/>
    </row>
    <row r="1855">
      <c r="A1855" s="137"/>
      <c r="B1855" s="136"/>
      <c r="C1855" s="136"/>
      <c r="D1855" s="136"/>
      <c r="E1855" s="137"/>
      <c r="F1855" s="137"/>
    </row>
    <row r="1856">
      <c r="A1856" s="137"/>
      <c r="B1856" s="136"/>
      <c r="C1856" s="136"/>
      <c r="D1856" s="136"/>
      <c r="E1856" s="137"/>
      <c r="F1856" s="137"/>
    </row>
    <row r="1857">
      <c r="A1857" s="137"/>
      <c r="B1857" s="136"/>
      <c r="C1857" s="136"/>
      <c r="D1857" s="136"/>
      <c r="E1857" s="137"/>
      <c r="F1857" s="137"/>
    </row>
    <row r="1858">
      <c r="A1858" s="137"/>
      <c r="B1858" s="136"/>
      <c r="C1858" s="136"/>
      <c r="D1858" s="136"/>
      <c r="E1858" s="137"/>
      <c r="F1858" s="137"/>
    </row>
    <row r="1859">
      <c r="A1859" s="137"/>
      <c r="B1859" s="136"/>
      <c r="C1859" s="136"/>
      <c r="D1859" s="136"/>
      <c r="E1859" s="137"/>
      <c r="F1859" s="137"/>
    </row>
    <row r="1860">
      <c r="A1860" s="137"/>
      <c r="B1860" s="136"/>
      <c r="C1860" s="136"/>
      <c r="D1860" s="136"/>
      <c r="E1860" s="137"/>
      <c r="F1860" s="137"/>
    </row>
    <row r="1861">
      <c r="A1861" s="137"/>
      <c r="B1861" s="136"/>
      <c r="C1861" s="136"/>
      <c r="D1861" s="136"/>
      <c r="E1861" s="137"/>
      <c r="F1861" s="137"/>
    </row>
    <row r="1862">
      <c r="A1862" s="137"/>
      <c r="B1862" s="136"/>
      <c r="C1862" s="136"/>
      <c r="D1862" s="136"/>
      <c r="E1862" s="137"/>
      <c r="F1862" s="137"/>
    </row>
    <row r="1863">
      <c r="A1863" s="137"/>
      <c r="B1863" s="136"/>
      <c r="C1863" s="136"/>
      <c r="D1863" s="136"/>
      <c r="E1863" s="137"/>
      <c r="F1863" s="137"/>
    </row>
    <row r="1864">
      <c r="A1864" s="137"/>
      <c r="B1864" s="136"/>
      <c r="C1864" s="136"/>
      <c r="D1864" s="136"/>
      <c r="E1864" s="137"/>
      <c r="F1864" s="137"/>
    </row>
    <row r="1865">
      <c r="A1865" s="137"/>
      <c r="B1865" s="136"/>
      <c r="C1865" s="136"/>
      <c r="D1865" s="136"/>
      <c r="E1865" s="137"/>
      <c r="F1865" s="137"/>
    </row>
    <row r="1866">
      <c r="A1866" s="137"/>
      <c r="B1866" s="136"/>
      <c r="C1866" s="136"/>
      <c r="D1866" s="136"/>
      <c r="E1866" s="137"/>
      <c r="F1866" s="137"/>
    </row>
    <row r="1867">
      <c r="A1867" s="137"/>
      <c r="B1867" s="136"/>
      <c r="C1867" s="136"/>
      <c r="D1867" s="136"/>
      <c r="E1867" s="137"/>
      <c r="F1867" s="137"/>
    </row>
    <row r="1868">
      <c r="A1868" s="137"/>
      <c r="B1868" s="136"/>
      <c r="C1868" s="136"/>
      <c r="D1868" s="136"/>
      <c r="E1868" s="137"/>
      <c r="F1868" s="137"/>
    </row>
    <row r="1869">
      <c r="A1869" s="137"/>
      <c r="B1869" s="136"/>
      <c r="C1869" s="136"/>
      <c r="D1869" s="136"/>
      <c r="E1869" s="137"/>
      <c r="F1869" s="137"/>
    </row>
    <row r="1870">
      <c r="A1870" s="137"/>
      <c r="B1870" s="136"/>
      <c r="C1870" s="136"/>
      <c r="D1870" s="136"/>
      <c r="E1870" s="137"/>
      <c r="F1870" s="137"/>
    </row>
    <row r="1871">
      <c r="A1871" s="137"/>
      <c r="B1871" s="136"/>
      <c r="C1871" s="136"/>
      <c r="D1871" s="136"/>
      <c r="E1871" s="137"/>
      <c r="F1871" s="137"/>
    </row>
    <row r="1872">
      <c r="A1872" s="137"/>
      <c r="B1872" s="136"/>
      <c r="C1872" s="136"/>
      <c r="D1872" s="136"/>
      <c r="E1872" s="137"/>
      <c r="F1872" s="137"/>
    </row>
    <row r="1873">
      <c r="A1873" s="137"/>
      <c r="B1873" s="136"/>
      <c r="C1873" s="136"/>
      <c r="D1873" s="136"/>
      <c r="E1873" s="137"/>
      <c r="F1873" s="137"/>
    </row>
    <row r="1874">
      <c r="A1874" s="137"/>
      <c r="B1874" s="136"/>
      <c r="C1874" s="136"/>
      <c r="D1874" s="136"/>
      <c r="E1874" s="137"/>
      <c r="F1874" s="137"/>
    </row>
    <row r="1875">
      <c r="A1875" s="137"/>
      <c r="B1875" s="136"/>
      <c r="C1875" s="136"/>
      <c r="D1875" s="136"/>
      <c r="E1875" s="137"/>
      <c r="F1875" s="137"/>
    </row>
    <row r="1876">
      <c r="A1876" s="137"/>
      <c r="B1876" s="136"/>
      <c r="C1876" s="136"/>
      <c r="D1876" s="136"/>
      <c r="E1876" s="137"/>
      <c r="F1876" s="137"/>
    </row>
    <row r="1877">
      <c r="A1877" s="137"/>
      <c r="B1877" s="136"/>
      <c r="C1877" s="136"/>
      <c r="D1877" s="136"/>
      <c r="E1877" s="137"/>
      <c r="F1877" s="137"/>
    </row>
    <row r="1878">
      <c r="A1878" s="137"/>
      <c r="B1878" s="136"/>
      <c r="C1878" s="136"/>
      <c r="D1878" s="136"/>
      <c r="E1878" s="137"/>
      <c r="F1878" s="137"/>
    </row>
    <row r="1879">
      <c r="A1879" s="137"/>
      <c r="B1879" s="136"/>
      <c r="C1879" s="136"/>
      <c r="D1879" s="136"/>
      <c r="E1879" s="137"/>
      <c r="F1879" s="137"/>
    </row>
    <row r="1880">
      <c r="A1880" s="137"/>
      <c r="B1880" s="136"/>
      <c r="C1880" s="136"/>
      <c r="D1880" s="136"/>
      <c r="E1880" s="137"/>
      <c r="F1880" s="137"/>
    </row>
    <row r="1881">
      <c r="A1881" s="137"/>
      <c r="B1881" s="136"/>
      <c r="C1881" s="136"/>
      <c r="D1881" s="136"/>
      <c r="E1881" s="137"/>
      <c r="F1881" s="137"/>
    </row>
    <row r="1882">
      <c r="A1882" s="137"/>
      <c r="B1882" s="136"/>
      <c r="C1882" s="136"/>
      <c r="D1882" s="136"/>
      <c r="E1882" s="137"/>
      <c r="F1882" s="137"/>
    </row>
    <row r="1883">
      <c r="A1883" s="137"/>
      <c r="B1883" s="136"/>
      <c r="C1883" s="136"/>
      <c r="D1883" s="136"/>
      <c r="E1883" s="137"/>
      <c r="F1883" s="137"/>
    </row>
    <row r="1884">
      <c r="A1884" s="137"/>
      <c r="B1884" s="136"/>
      <c r="C1884" s="136"/>
      <c r="D1884" s="136"/>
      <c r="E1884" s="137"/>
      <c r="F1884" s="137"/>
    </row>
    <row r="1885">
      <c r="A1885" s="137"/>
      <c r="B1885" s="136"/>
      <c r="C1885" s="136"/>
      <c r="D1885" s="136"/>
      <c r="E1885" s="137"/>
      <c r="F1885" s="137"/>
    </row>
    <row r="1886">
      <c r="A1886" s="137"/>
      <c r="B1886" s="136"/>
      <c r="C1886" s="136"/>
      <c r="D1886" s="136"/>
      <c r="E1886" s="137"/>
      <c r="F1886" s="137"/>
    </row>
    <row r="1887">
      <c r="A1887" s="137"/>
      <c r="B1887" s="136"/>
      <c r="C1887" s="136"/>
      <c r="D1887" s="136"/>
      <c r="E1887" s="137"/>
      <c r="F1887" s="137"/>
    </row>
    <row r="1888">
      <c r="A1888" s="137"/>
      <c r="B1888" s="136"/>
      <c r="C1888" s="136"/>
      <c r="D1888" s="136"/>
      <c r="E1888" s="137"/>
      <c r="F1888" s="137"/>
    </row>
    <row r="1889">
      <c r="A1889" s="137"/>
      <c r="B1889" s="136"/>
      <c r="C1889" s="136"/>
      <c r="D1889" s="136"/>
      <c r="E1889" s="137"/>
      <c r="F1889" s="137"/>
    </row>
    <row r="1890">
      <c r="A1890" s="137"/>
      <c r="B1890" s="136"/>
      <c r="C1890" s="136"/>
      <c r="D1890" s="136"/>
      <c r="E1890" s="137"/>
      <c r="F1890" s="137"/>
    </row>
    <row r="1891">
      <c r="A1891" s="137"/>
      <c r="B1891" s="136"/>
      <c r="C1891" s="136"/>
      <c r="D1891" s="136"/>
      <c r="E1891" s="137"/>
      <c r="F1891" s="137"/>
    </row>
    <row r="1892">
      <c r="A1892" s="137"/>
      <c r="B1892" s="136"/>
      <c r="C1892" s="136"/>
      <c r="D1892" s="136"/>
      <c r="E1892" s="137"/>
      <c r="F1892" s="137"/>
    </row>
    <row r="1893">
      <c r="A1893" s="137"/>
      <c r="B1893" s="136"/>
      <c r="C1893" s="136"/>
      <c r="D1893" s="136"/>
      <c r="E1893" s="137"/>
      <c r="F1893" s="137"/>
    </row>
    <row r="1894">
      <c r="A1894" s="137"/>
      <c r="B1894" s="136"/>
      <c r="C1894" s="136"/>
      <c r="D1894" s="136"/>
      <c r="E1894" s="137"/>
      <c r="F1894" s="137"/>
    </row>
    <row r="1895">
      <c r="A1895" s="137"/>
      <c r="B1895" s="136"/>
      <c r="C1895" s="136"/>
      <c r="D1895" s="136"/>
      <c r="E1895" s="137"/>
      <c r="F1895" s="137"/>
    </row>
    <row r="1896">
      <c r="A1896" s="137"/>
      <c r="B1896" s="136"/>
      <c r="C1896" s="136"/>
      <c r="D1896" s="136"/>
      <c r="E1896" s="137"/>
      <c r="F1896" s="137"/>
    </row>
    <row r="1897">
      <c r="A1897" s="137"/>
      <c r="B1897" s="136"/>
      <c r="C1897" s="136"/>
      <c r="D1897" s="136"/>
      <c r="E1897" s="137"/>
      <c r="F1897" s="137"/>
    </row>
    <row r="1898">
      <c r="A1898" s="137"/>
      <c r="B1898" s="136"/>
      <c r="C1898" s="136"/>
      <c r="D1898" s="136"/>
      <c r="E1898" s="137"/>
      <c r="F1898" s="137"/>
    </row>
    <row r="1899">
      <c r="A1899" s="137"/>
      <c r="B1899" s="136"/>
      <c r="C1899" s="136"/>
      <c r="D1899" s="136"/>
      <c r="E1899" s="137"/>
      <c r="F1899" s="137"/>
    </row>
    <row r="1900">
      <c r="A1900" s="137"/>
      <c r="B1900" s="136"/>
      <c r="C1900" s="136"/>
      <c r="D1900" s="136"/>
      <c r="E1900" s="137"/>
      <c r="F1900" s="137"/>
    </row>
    <row r="1901">
      <c r="A1901" s="137"/>
      <c r="B1901" s="136"/>
      <c r="C1901" s="136"/>
      <c r="D1901" s="136"/>
      <c r="E1901" s="137"/>
      <c r="F1901" s="137"/>
    </row>
    <row r="1902">
      <c r="A1902" s="137"/>
      <c r="B1902" s="136"/>
      <c r="C1902" s="136"/>
      <c r="D1902" s="136"/>
      <c r="E1902" s="137"/>
      <c r="F1902" s="137"/>
    </row>
    <row r="1903">
      <c r="A1903" s="137"/>
      <c r="B1903" s="136"/>
      <c r="C1903" s="136"/>
      <c r="D1903" s="136"/>
      <c r="E1903" s="137"/>
      <c r="F1903" s="137"/>
    </row>
    <row r="1904">
      <c r="A1904" s="137"/>
      <c r="B1904" s="136"/>
      <c r="C1904" s="136"/>
      <c r="D1904" s="136"/>
      <c r="E1904" s="137"/>
      <c r="F1904" s="137"/>
    </row>
    <row r="1905">
      <c r="A1905" s="137"/>
      <c r="B1905" s="136"/>
      <c r="C1905" s="136"/>
      <c r="D1905" s="136"/>
      <c r="E1905" s="137"/>
      <c r="F1905" s="137"/>
    </row>
    <row r="1906">
      <c r="A1906" s="137"/>
      <c r="B1906" s="136"/>
      <c r="C1906" s="136"/>
      <c r="D1906" s="136"/>
      <c r="E1906" s="137"/>
      <c r="F1906" s="137"/>
    </row>
    <row r="1907">
      <c r="A1907" s="137"/>
      <c r="B1907" s="136"/>
      <c r="C1907" s="136"/>
      <c r="D1907" s="136"/>
      <c r="E1907" s="137"/>
      <c r="F1907" s="137"/>
    </row>
    <row r="1908">
      <c r="A1908" s="137"/>
      <c r="B1908" s="136"/>
      <c r="C1908" s="136"/>
      <c r="D1908" s="136"/>
      <c r="E1908" s="137"/>
      <c r="F1908" s="137"/>
    </row>
    <row r="1909">
      <c r="A1909" s="137"/>
      <c r="B1909" s="136"/>
      <c r="C1909" s="136"/>
      <c r="D1909" s="136"/>
      <c r="E1909" s="137"/>
      <c r="F1909" s="137"/>
    </row>
    <row r="1910">
      <c r="A1910" s="137"/>
      <c r="B1910" s="136"/>
      <c r="C1910" s="136"/>
      <c r="D1910" s="136"/>
      <c r="E1910" s="137"/>
      <c r="F1910" s="137"/>
    </row>
    <row r="1911">
      <c r="A1911" s="137"/>
      <c r="B1911" s="136"/>
      <c r="C1911" s="136"/>
      <c r="D1911" s="136"/>
      <c r="E1911" s="137"/>
      <c r="F1911" s="137"/>
    </row>
    <row r="1912">
      <c r="A1912" s="137"/>
      <c r="B1912" s="136"/>
      <c r="C1912" s="136"/>
      <c r="D1912" s="136"/>
      <c r="E1912" s="137"/>
      <c r="F1912" s="137"/>
    </row>
    <row r="1913">
      <c r="A1913" s="137"/>
      <c r="B1913" s="136"/>
      <c r="C1913" s="136"/>
      <c r="D1913" s="136"/>
      <c r="E1913" s="137"/>
      <c r="F1913" s="137"/>
    </row>
    <row r="1914">
      <c r="A1914" s="137"/>
      <c r="B1914" s="136"/>
      <c r="C1914" s="136"/>
      <c r="D1914" s="136"/>
      <c r="E1914" s="137"/>
      <c r="F1914" s="137"/>
    </row>
    <row r="1915">
      <c r="A1915" s="137"/>
      <c r="B1915" s="136"/>
      <c r="C1915" s="136"/>
      <c r="D1915" s="136"/>
      <c r="E1915" s="137"/>
      <c r="F1915" s="137"/>
    </row>
    <row r="1916">
      <c r="A1916" s="137"/>
      <c r="B1916" s="136"/>
      <c r="C1916" s="136"/>
      <c r="D1916" s="136"/>
      <c r="E1916" s="137"/>
      <c r="F1916" s="137"/>
    </row>
    <row r="1917">
      <c r="A1917" s="137"/>
      <c r="B1917" s="136"/>
      <c r="C1917" s="136"/>
      <c r="D1917" s="136"/>
      <c r="E1917" s="137"/>
      <c r="F1917" s="137"/>
    </row>
    <row r="1918">
      <c r="A1918" s="137"/>
      <c r="B1918" s="136"/>
      <c r="C1918" s="136"/>
      <c r="D1918" s="136"/>
      <c r="E1918" s="137"/>
      <c r="F1918" s="137"/>
    </row>
    <row r="1919">
      <c r="A1919" s="137"/>
      <c r="B1919" s="136"/>
      <c r="C1919" s="136"/>
      <c r="D1919" s="136"/>
      <c r="E1919" s="137"/>
      <c r="F1919" s="137"/>
    </row>
    <row r="1920">
      <c r="A1920" s="137"/>
      <c r="B1920" s="136"/>
      <c r="C1920" s="136"/>
      <c r="D1920" s="136"/>
      <c r="E1920" s="137"/>
      <c r="F1920" s="137"/>
    </row>
    <row r="1921">
      <c r="A1921" s="137"/>
      <c r="B1921" s="136"/>
      <c r="C1921" s="136"/>
      <c r="D1921" s="136"/>
      <c r="E1921" s="137"/>
      <c r="F1921" s="137"/>
    </row>
    <row r="1922">
      <c r="A1922" s="137"/>
      <c r="B1922" s="136"/>
      <c r="C1922" s="136"/>
      <c r="D1922" s="136"/>
      <c r="E1922" s="137"/>
      <c r="F1922" s="137"/>
    </row>
    <row r="1923">
      <c r="A1923" s="137"/>
      <c r="B1923" s="136"/>
      <c r="C1923" s="136"/>
      <c r="D1923" s="136"/>
      <c r="E1923" s="137"/>
      <c r="F1923" s="137"/>
    </row>
    <row r="1924">
      <c r="A1924" s="137"/>
      <c r="B1924" s="136"/>
      <c r="C1924" s="136"/>
      <c r="D1924" s="136"/>
      <c r="E1924" s="137"/>
      <c r="F1924" s="137"/>
    </row>
    <row r="1925">
      <c r="A1925" s="137"/>
      <c r="B1925" s="136"/>
      <c r="C1925" s="136"/>
      <c r="D1925" s="136"/>
      <c r="E1925" s="137"/>
      <c r="F1925" s="137"/>
    </row>
    <row r="1926">
      <c r="A1926" s="137"/>
      <c r="B1926" s="136"/>
      <c r="C1926" s="136"/>
      <c r="D1926" s="136"/>
      <c r="E1926" s="137"/>
      <c r="F1926" s="137"/>
    </row>
    <row r="1927">
      <c r="A1927" s="137"/>
      <c r="B1927" s="136"/>
      <c r="C1927" s="136"/>
      <c r="D1927" s="136"/>
      <c r="E1927" s="137"/>
      <c r="F1927" s="137"/>
    </row>
    <row r="1928">
      <c r="A1928" s="137"/>
      <c r="B1928" s="136"/>
      <c r="C1928" s="136"/>
      <c r="D1928" s="136"/>
      <c r="E1928" s="137"/>
      <c r="F1928" s="137"/>
    </row>
    <row r="1929">
      <c r="A1929" s="137"/>
      <c r="B1929" s="136"/>
      <c r="C1929" s="136"/>
      <c r="D1929" s="136"/>
      <c r="E1929" s="137"/>
      <c r="F1929" s="137"/>
    </row>
    <row r="1930">
      <c r="A1930" s="137"/>
      <c r="B1930" s="136"/>
      <c r="C1930" s="136"/>
      <c r="D1930" s="136"/>
      <c r="E1930" s="137"/>
      <c r="F1930" s="137"/>
    </row>
    <row r="1931">
      <c r="A1931" s="137"/>
      <c r="B1931" s="136"/>
      <c r="C1931" s="136"/>
      <c r="D1931" s="136"/>
      <c r="E1931" s="137"/>
      <c r="F1931" s="137"/>
    </row>
    <row r="1932">
      <c r="A1932" s="137"/>
      <c r="B1932" s="136"/>
      <c r="C1932" s="136"/>
      <c r="D1932" s="136"/>
      <c r="E1932" s="137"/>
      <c r="F1932" s="137"/>
    </row>
    <row r="1933">
      <c r="A1933" s="137"/>
      <c r="B1933" s="136"/>
      <c r="C1933" s="136"/>
      <c r="D1933" s="136"/>
      <c r="E1933" s="137"/>
      <c r="F1933" s="137"/>
    </row>
    <row r="1934">
      <c r="A1934" s="137"/>
      <c r="B1934" s="136"/>
      <c r="C1934" s="136"/>
      <c r="D1934" s="136"/>
      <c r="E1934" s="137"/>
      <c r="F1934" s="137"/>
    </row>
    <row r="1935">
      <c r="A1935" s="137"/>
      <c r="B1935" s="136"/>
      <c r="C1935" s="136"/>
      <c r="D1935" s="136"/>
      <c r="E1935" s="137"/>
      <c r="F1935" s="137"/>
    </row>
    <row r="1936">
      <c r="A1936" s="137"/>
      <c r="B1936" s="136"/>
      <c r="C1936" s="136"/>
      <c r="D1936" s="136"/>
      <c r="E1936" s="137"/>
      <c r="F1936" s="137"/>
    </row>
    <row r="1937">
      <c r="A1937" s="137"/>
      <c r="B1937" s="136"/>
      <c r="C1937" s="136"/>
      <c r="D1937" s="136"/>
      <c r="E1937" s="137"/>
      <c r="F1937" s="137"/>
    </row>
    <row r="1938">
      <c r="A1938" s="137"/>
      <c r="B1938" s="136"/>
      <c r="C1938" s="136"/>
      <c r="D1938" s="136"/>
      <c r="E1938" s="137"/>
      <c r="F1938" s="137"/>
    </row>
    <row r="1939">
      <c r="A1939" s="137"/>
      <c r="B1939" s="136"/>
      <c r="C1939" s="136"/>
      <c r="D1939" s="136"/>
      <c r="E1939" s="137"/>
      <c r="F1939" s="137"/>
    </row>
    <row r="1940">
      <c r="A1940" s="137"/>
      <c r="B1940" s="136"/>
      <c r="C1940" s="136"/>
      <c r="D1940" s="136"/>
      <c r="E1940" s="137"/>
      <c r="F1940" s="137"/>
    </row>
    <row r="1941">
      <c r="A1941" s="137"/>
      <c r="B1941" s="136"/>
      <c r="C1941" s="136"/>
      <c r="D1941" s="136"/>
      <c r="E1941" s="137"/>
      <c r="F1941" s="137"/>
    </row>
    <row r="1942">
      <c r="A1942" s="137"/>
      <c r="B1942" s="136"/>
      <c r="C1942" s="136"/>
      <c r="D1942" s="136"/>
      <c r="E1942" s="137"/>
      <c r="F1942" s="137"/>
    </row>
    <row r="1943">
      <c r="A1943" s="137"/>
      <c r="B1943" s="136"/>
      <c r="C1943" s="136"/>
      <c r="D1943" s="136"/>
      <c r="E1943" s="137"/>
      <c r="F1943" s="137"/>
    </row>
    <row r="1944">
      <c r="A1944" s="137"/>
      <c r="B1944" s="136"/>
      <c r="C1944" s="136"/>
      <c r="D1944" s="136"/>
      <c r="E1944" s="137"/>
      <c r="F1944" s="137"/>
    </row>
    <row r="1945">
      <c r="A1945" s="137"/>
      <c r="B1945" s="136"/>
      <c r="C1945" s="136"/>
      <c r="D1945" s="136"/>
      <c r="E1945" s="137"/>
      <c r="F1945" s="137"/>
    </row>
    <row r="1946">
      <c r="A1946" s="137"/>
      <c r="B1946" s="136"/>
      <c r="C1946" s="136"/>
      <c r="D1946" s="136"/>
      <c r="E1946" s="137"/>
      <c r="F1946" s="137"/>
    </row>
    <row r="1947">
      <c r="A1947" s="137"/>
      <c r="B1947" s="136"/>
      <c r="C1947" s="136"/>
      <c r="D1947" s="136"/>
      <c r="E1947" s="137"/>
      <c r="F1947" s="137"/>
    </row>
    <row r="1948">
      <c r="A1948" s="137"/>
      <c r="B1948" s="136"/>
      <c r="C1948" s="136"/>
      <c r="D1948" s="136"/>
      <c r="E1948" s="137"/>
      <c r="F1948" s="137"/>
    </row>
    <row r="1949">
      <c r="A1949" s="137"/>
      <c r="B1949" s="136"/>
      <c r="C1949" s="136"/>
      <c r="D1949" s="136"/>
      <c r="E1949" s="137"/>
      <c r="F1949" s="137"/>
    </row>
    <row r="1950">
      <c r="A1950" s="137"/>
      <c r="B1950" s="136"/>
      <c r="C1950" s="136"/>
      <c r="D1950" s="136"/>
      <c r="E1950" s="137"/>
      <c r="F1950" s="137"/>
    </row>
    <row r="1951">
      <c r="A1951" s="137"/>
      <c r="B1951" s="136"/>
      <c r="C1951" s="136"/>
      <c r="D1951" s="136"/>
      <c r="E1951" s="137"/>
      <c r="F1951" s="137"/>
    </row>
    <row r="1952">
      <c r="A1952" s="137"/>
      <c r="B1952" s="136"/>
      <c r="C1952" s="136"/>
      <c r="D1952" s="136"/>
      <c r="E1952" s="137"/>
      <c r="F1952" s="137"/>
    </row>
    <row r="1953">
      <c r="A1953" s="137"/>
      <c r="B1953" s="136"/>
      <c r="C1953" s="136"/>
      <c r="D1953" s="136"/>
      <c r="E1953" s="137"/>
      <c r="F1953" s="137"/>
    </row>
    <row r="1954">
      <c r="A1954" s="137"/>
      <c r="B1954" s="136"/>
      <c r="C1954" s="136"/>
      <c r="D1954" s="136"/>
      <c r="E1954" s="137"/>
      <c r="F1954" s="137"/>
    </row>
    <row r="1955">
      <c r="A1955" s="137"/>
      <c r="B1955" s="136"/>
      <c r="C1955" s="136"/>
      <c r="D1955" s="136"/>
      <c r="E1955" s="137"/>
      <c r="F1955" s="137"/>
    </row>
    <row r="1956">
      <c r="A1956" s="137"/>
      <c r="B1956" s="136"/>
      <c r="C1956" s="136"/>
      <c r="D1956" s="136"/>
      <c r="E1956" s="137"/>
      <c r="F1956" s="137"/>
    </row>
    <row r="1957">
      <c r="A1957" s="137"/>
      <c r="B1957" s="136"/>
      <c r="C1957" s="136"/>
      <c r="D1957" s="136"/>
      <c r="E1957" s="137"/>
      <c r="F1957" s="137"/>
    </row>
    <row r="1958">
      <c r="A1958" s="137"/>
      <c r="B1958" s="136"/>
      <c r="C1958" s="136"/>
      <c r="D1958" s="136"/>
      <c r="E1958" s="137"/>
      <c r="F1958" s="137"/>
    </row>
    <row r="1959">
      <c r="A1959" s="137"/>
      <c r="B1959" s="136"/>
      <c r="C1959" s="136"/>
      <c r="D1959" s="136"/>
      <c r="E1959" s="137"/>
      <c r="F1959" s="137"/>
    </row>
    <row r="1960">
      <c r="A1960" s="137"/>
      <c r="B1960" s="136"/>
      <c r="C1960" s="136"/>
      <c r="D1960" s="136"/>
      <c r="E1960" s="137"/>
      <c r="F1960" s="137"/>
    </row>
    <row r="1961">
      <c r="A1961" s="137"/>
      <c r="B1961" s="136"/>
      <c r="C1961" s="136"/>
      <c r="D1961" s="136"/>
      <c r="E1961" s="137"/>
      <c r="F1961" s="137"/>
    </row>
    <row r="1962">
      <c r="A1962" s="137"/>
      <c r="B1962" s="136"/>
      <c r="C1962" s="136"/>
      <c r="D1962" s="136"/>
      <c r="E1962" s="137"/>
      <c r="F1962" s="137"/>
    </row>
    <row r="1963">
      <c r="A1963" s="137"/>
      <c r="B1963" s="136"/>
      <c r="C1963" s="136"/>
      <c r="D1963" s="136"/>
      <c r="E1963" s="137"/>
      <c r="F1963" s="137"/>
    </row>
    <row r="1964">
      <c r="A1964" s="137"/>
      <c r="B1964" s="136"/>
      <c r="C1964" s="136"/>
      <c r="D1964" s="136"/>
      <c r="E1964" s="137"/>
      <c r="F1964" s="137"/>
    </row>
    <row r="1965">
      <c r="A1965" s="137"/>
      <c r="B1965" s="136"/>
      <c r="C1965" s="136"/>
      <c r="D1965" s="136"/>
      <c r="E1965" s="137"/>
      <c r="F1965" s="137"/>
    </row>
    <row r="1966">
      <c r="A1966" s="137"/>
      <c r="B1966" s="136"/>
      <c r="C1966" s="136"/>
      <c r="D1966" s="136"/>
      <c r="E1966" s="137"/>
      <c r="F1966" s="137"/>
    </row>
    <row r="1967">
      <c r="A1967" s="137"/>
      <c r="B1967" s="136"/>
      <c r="C1967" s="136"/>
      <c r="D1967" s="136"/>
      <c r="E1967" s="137"/>
      <c r="F1967" s="137"/>
    </row>
    <row r="1968">
      <c r="A1968" s="137"/>
      <c r="B1968" s="136"/>
      <c r="C1968" s="136"/>
      <c r="D1968" s="136"/>
      <c r="E1968" s="137"/>
      <c r="F1968" s="137"/>
    </row>
    <row r="1969">
      <c r="A1969" s="137"/>
      <c r="B1969" s="136"/>
      <c r="C1969" s="136"/>
      <c r="D1969" s="136"/>
      <c r="E1969" s="137"/>
      <c r="F1969" s="137"/>
    </row>
    <row r="1970">
      <c r="A1970" s="137"/>
      <c r="B1970" s="136"/>
      <c r="C1970" s="136"/>
      <c r="D1970" s="136"/>
      <c r="E1970" s="137"/>
      <c r="F1970" s="137"/>
    </row>
    <row r="1971">
      <c r="A1971" s="137"/>
      <c r="B1971" s="136"/>
      <c r="C1971" s="136"/>
      <c r="D1971" s="136"/>
      <c r="E1971" s="137"/>
      <c r="F1971" s="137"/>
    </row>
    <row r="1972">
      <c r="A1972" s="137"/>
      <c r="B1972" s="136"/>
      <c r="C1972" s="136"/>
      <c r="D1972" s="136"/>
      <c r="E1972" s="137"/>
      <c r="F1972" s="137"/>
    </row>
    <row r="1973">
      <c r="A1973" s="137"/>
      <c r="B1973" s="136"/>
      <c r="C1973" s="136"/>
      <c r="D1973" s="136"/>
      <c r="E1973" s="137"/>
      <c r="F1973" s="137"/>
    </row>
    <row r="1974">
      <c r="A1974" s="137"/>
      <c r="B1974" s="136"/>
      <c r="C1974" s="136"/>
      <c r="D1974" s="136"/>
      <c r="E1974" s="137"/>
      <c r="F1974" s="137"/>
    </row>
    <row r="1975">
      <c r="A1975" s="137"/>
      <c r="B1975" s="136"/>
      <c r="C1975" s="136"/>
      <c r="D1975" s="136"/>
      <c r="E1975" s="137"/>
      <c r="F1975" s="137"/>
    </row>
    <row r="1976">
      <c r="A1976" s="137"/>
      <c r="B1976" s="136"/>
      <c r="C1976" s="136"/>
      <c r="D1976" s="136"/>
      <c r="E1976" s="137"/>
      <c r="F1976" s="137"/>
    </row>
    <row r="1977">
      <c r="A1977" s="137"/>
      <c r="B1977" s="136"/>
      <c r="C1977" s="136"/>
      <c r="D1977" s="136"/>
      <c r="E1977" s="137"/>
      <c r="F1977" s="137"/>
    </row>
    <row r="1978">
      <c r="A1978" s="137"/>
      <c r="B1978" s="136"/>
      <c r="C1978" s="136"/>
      <c r="D1978" s="136"/>
      <c r="E1978" s="137"/>
      <c r="F1978" s="137"/>
    </row>
    <row r="1979">
      <c r="A1979" s="137"/>
      <c r="B1979" s="136"/>
      <c r="C1979" s="136"/>
      <c r="D1979" s="136"/>
      <c r="E1979" s="137"/>
      <c r="F1979" s="137"/>
    </row>
    <row r="1980">
      <c r="A1980" s="137"/>
      <c r="B1980" s="136"/>
      <c r="C1980" s="136"/>
      <c r="D1980" s="136"/>
      <c r="E1980" s="137"/>
      <c r="F1980" s="137"/>
    </row>
    <row r="1981">
      <c r="A1981" s="137"/>
      <c r="B1981" s="136"/>
      <c r="C1981" s="136"/>
      <c r="D1981" s="136"/>
      <c r="E1981" s="137"/>
      <c r="F1981" s="137"/>
    </row>
    <row r="1982">
      <c r="A1982" s="137"/>
      <c r="B1982" s="136"/>
      <c r="C1982" s="136"/>
      <c r="D1982" s="136"/>
      <c r="E1982" s="137"/>
      <c r="F1982" s="137"/>
    </row>
    <row r="1983">
      <c r="A1983" s="137"/>
      <c r="B1983" s="136"/>
      <c r="C1983" s="136"/>
      <c r="D1983" s="136"/>
      <c r="E1983" s="137"/>
      <c r="F1983" s="137"/>
    </row>
    <row r="1984">
      <c r="A1984" s="137"/>
      <c r="B1984" s="136"/>
      <c r="C1984" s="136"/>
      <c r="D1984" s="136"/>
      <c r="E1984" s="137"/>
      <c r="F1984" s="137"/>
    </row>
    <row r="1985">
      <c r="A1985" s="137"/>
      <c r="B1985" s="136"/>
      <c r="C1985" s="136"/>
      <c r="D1985" s="136"/>
      <c r="E1985" s="137"/>
      <c r="F1985" s="137"/>
    </row>
    <row r="1986">
      <c r="A1986" s="137"/>
      <c r="B1986" s="136"/>
      <c r="C1986" s="136"/>
      <c r="D1986" s="136"/>
      <c r="E1986" s="137"/>
      <c r="F1986" s="137"/>
    </row>
    <row r="1987">
      <c r="A1987" s="137"/>
      <c r="B1987" s="136"/>
      <c r="C1987" s="136"/>
      <c r="D1987" s="136"/>
      <c r="E1987" s="137"/>
      <c r="F1987" s="137"/>
    </row>
    <row r="1988">
      <c r="A1988" s="137"/>
      <c r="B1988" s="136"/>
      <c r="C1988" s="136"/>
      <c r="D1988" s="136"/>
      <c r="E1988" s="137"/>
      <c r="F1988" s="137"/>
    </row>
    <row r="1989">
      <c r="A1989" s="137"/>
      <c r="B1989" s="136"/>
      <c r="C1989" s="136"/>
      <c r="D1989" s="136"/>
      <c r="E1989" s="137"/>
      <c r="F1989" s="137"/>
    </row>
    <row r="1990">
      <c r="A1990" s="137"/>
      <c r="B1990" s="136"/>
      <c r="C1990" s="136"/>
      <c r="D1990" s="136"/>
      <c r="E1990" s="137"/>
      <c r="F1990" s="137"/>
    </row>
    <row r="1991">
      <c r="A1991" s="137"/>
      <c r="B1991" s="136"/>
      <c r="C1991" s="136"/>
      <c r="D1991" s="136"/>
      <c r="E1991" s="137"/>
      <c r="F1991" s="137"/>
    </row>
    <row r="1992">
      <c r="A1992" s="137"/>
      <c r="B1992" s="136"/>
      <c r="C1992" s="136"/>
      <c r="D1992" s="136"/>
      <c r="E1992" s="137"/>
      <c r="F1992" s="137"/>
    </row>
    <row r="1993">
      <c r="A1993" s="137"/>
      <c r="B1993" s="136"/>
      <c r="C1993" s="136"/>
      <c r="D1993" s="136"/>
      <c r="E1993" s="137"/>
      <c r="F1993" s="137"/>
    </row>
    <row r="1994">
      <c r="A1994" s="137"/>
      <c r="B1994" s="136"/>
      <c r="C1994" s="136"/>
      <c r="D1994" s="136"/>
      <c r="E1994" s="137"/>
      <c r="F1994" s="137"/>
    </row>
    <row r="1995">
      <c r="A1995" s="137"/>
      <c r="B1995" s="136"/>
      <c r="C1995" s="136"/>
      <c r="D1995" s="136"/>
      <c r="E1995" s="137"/>
      <c r="F1995" s="137"/>
    </row>
    <row r="1996">
      <c r="A1996" s="137"/>
      <c r="B1996" s="136"/>
      <c r="C1996" s="136"/>
      <c r="D1996" s="136"/>
      <c r="E1996" s="137"/>
      <c r="F1996" s="137"/>
    </row>
    <row r="1997">
      <c r="A1997" s="137"/>
      <c r="B1997" s="136"/>
      <c r="C1997" s="136"/>
      <c r="D1997" s="136"/>
      <c r="E1997" s="137"/>
      <c r="F1997" s="137"/>
    </row>
    <row r="1998">
      <c r="A1998" s="137"/>
      <c r="B1998" s="136"/>
      <c r="C1998" s="136"/>
      <c r="D1998" s="136"/>
      <c r="E1998" s="137"/>
      <c r="F1998" s="137"/>
    </row>
    <row r="1999">
      <c r="A1999" s="137"/>
      <c r="B1999" s="136"/>
      <c r="C1999" s="136"/>
      <c r="D1999" s="136"/>
      <c r="E1999" s="137"/>
      <c r="F1999" s="137"/>
    </row>
    <row r="2000">
      <c r="A2000" s="137"/>
      <c r="B2000" s="136"/>
      <c r="C2000" s="136"/>
      <c r="D2000" s="136"/>
      <c r="E2000" s="137"/>
      <c r="F2000" s="137"/>
    </row>
    <row r="2001">
      <c r="A2001" s="137"/>
      <c r="B2001" s="136"/>
      <c r="C2001" s="136"/>
      <c r="D2001" s="136"/>
      <c r="E2001" s="137"/>
      <c r="F2001" s="137"/>
    </row>
    <row r="2002">
      <c r="A2002" s="137"/>
      <c r="B2002" s="136"/>
      <c r="C2002" s="136"/>
      <c r="D2002" s="136"/>
      <c r="E2002" s="137"/>
      <c r="F2002" s="137"/>
    </row>
    <row r="2003">
      <c r="A2003" s="137"/>
      <c r="B2003" s="136"/>
      <c r="C2003" s="136"/>
      <c r="D2003" s="136"/>
      <c r="E2003" s="137"/>
      <c r="F2003" s="137"/>
    </row>
    <row r="2004">
      <c r="A2004" s="137"/>
      <c r="B2004" s="136"/>
      <c r="C2004" s="136"/>
      <c r="D2004" s="136"/>
      <c r="E2004" s="137"/>
      <c r="F2004" s="137"/>
    </row>
    <row r="2005">
      <c r="A2005" s="137"/>
      <c r="B2005" s="136"/>
      <c r="C2005" s="136"/>
      <c r="D2005" s="136"/>
      <c r="E2005" s="137"/>
      <c r="F2005" s="137"/>
    </row>
    <row r="2006">
      <c r="A2006" s="137"/>
      <c r="B2006" s="136"/>
      <c r="C2006" s="136"/>
      <c r="D2006" s="136"/>
      <c r="E2006" s="137"/>
      <c r="F2006" s="137"/>
    </row>
    <row r="2007">
      <c r="A2007" s="137"/>
      <c r="B2007" s="136"/>
      <c r="C2007" s="136"/>
      <c r="D2007" s="136"/>
      <c r="E2007" s="137"/>
      <c r="F2007" s="137"/>
    </row>
    <row r="2008">
      <c r="A2008" s="137"/>
      <c r="B2008" s="136"/>
      <c r="C2008" s="136"/>
      <c r="D2008" s="136"/>
      <c r="E2008" s="137"/>
      <c r="F2008" s="137"/>
    </row>
    <row r="2009">
      <c r="A2009" s="137"/>
      <c r="B2009" s="136"/>
      <c r="C2009" s="136"/>
      <c r="D2009" s="136"/>
      <c r="E2009" s="137"/>
      <c r="F2009" s="137"/>
    </row>
    <row r="2010">
      <c r="A2010" s="137"/>
      <c r="B2010" s="136"/>
      <c r="C2010" s="136"/>
      <c r="D2010" s="136"/>
      <c r="E2010" s="137"/>
      <c r="F2010" s="137"/>
    </row>
    <row r="2011">
      <c r="A2011" s="137"/>
      <c r="B2011" s="136"/>
      <c r="C2011" s="136"/>
      <c r="D2011" s="136"/>
      <c r="E2011" s="137"/>
      <c r="F2011" s="137"/>
    </row>
    <row r="2012">
      <c r="A2012" s="137"/>
      <c r="B2012" s="136"/>
      <c r="C2012" s="136"/>
      <c r="D2012" s="136"/>
      <c r="E2012" s="137"/>
      <c r="F2012" s="137"/>
    </row>
    <row r="2013">
      <c r="A2013" s="137"/>
      <c r="B2013" s="136"/>
      <c r="C2013" s="136"/>
      <c r="D2013" s="136"/>
      <c r="E2013" s="137"/>
      <c r="F2013" s="137"/>
    </row>
    <row r="2014">
      <c r="A2014" s="137"/>
      <c r="B2014" s="136"/>
      <c r="C2014" s="136"/>
      <c r="D2014" s="136"/>
      <c r="E2014" s="137"/>
      <c r="F2014" s="137"/>
    </row>
    <row r="2015">
      <c r="A2015" s="137"/>
      <c r="B2015" s="136"/>
      <c r="C2015" s="136"/>
      <c r="D2015" s="136"/>
      <c r="E2015" s="137"/>
      <c r="F2015" s="137"/>
    </row>
    <row r="2016">
      <c r="A2016" s="137"/>
      <c r="B2016" s="136"/>
      <c r="C2016" s="136"/>
      <c r="D2016" s="136"/>
      <c r="E2016" s="137"/>
      <c r="F2016" s="137"/>
    </row>
    <row r="2017">
      <c r="A2017" s="137"/>
      <c r="B2017" s="136"/>
      <c r="C2017" s="136"/>
      <c r="D2017" s="136"/>
      <c r="E2017" s="137"/>
      <c r="F2017" s="137"/>
    </row>
    <row r="2018">
      <c r="A2018" s="137"/>
      <c r="B2018" s="136"/>
      <c r="C2018" s="136"/>
      <c r="D2018" s="136"/>
      <c r="E2018" s="137"/>
      <c r="F2018" s="137"/>
    </row>
    <row r="2019">
      <c r="A2019" s="137"/>
      <c r="B2019" s="136"/>
      <c r="C2019" s="136"/>
      <c r="D2019" s="136"/>
      <c r="E2019" s="137"/>
      <c r="F2019" s="137"/>
    </row>
    <row r="2020">
      <c r="A2020" s="137"/>
      <c r="B2020" s="136"/>
      <c r="C2020" s="136"/>
      <c r="D2020" s="136"/>
      <c r="E2020" s="137"/>
      <c r="F2020" s="137"/>
    </row>
    <row r="2021">
      <c r="A2021" s="137"/>
      <c r="B2021" s="136"/>
      <c r="C2021" s="136"/>
      <c r="D2021" s="136"/>
      <c r="E2021" s="137"/>
      <c r="F2021" s="137"/>
    </row>
    <row r="2022">
      <c r="A2022" s="137"/>
      <c r="B2022" s="136"/>
      <c r="C2022" s="136"/>
      <c r="D2022" s="136"/>
      <c r="E2022" s="137"/>
      <c r="F2022" s="137"/>
    </row>
    <row r="2023">
      <c r="A2023" s="137"/>
      <c r="B2023" s="136"/>
      <c r="C2023" s="136"/>
      <c r="D2023" s="136"/>
      <c r="E2023" s="137"/>
      <c r="F2023" s="137"/>
    </row>
    <row r="2024">
      <c r="A2024" s="137"/>
      <c r="B2024" s="136"/>
      <c r="C2024" s="136"/>
      <c r="D2024" s="136"/>
      <c r="E2024" s="137"/>
      <c r="F2024" s="137"/>
    </row>
    <row r="2025">
      <c r="A2025" s="137"/>
      <c r="B2025" s="136"/>
      <c r="C2025" s="136"/>
      <c r="D2025" s="136"/>
      <c r="E2025" s="137"/>
      <c r="F2025" s="137"/>
    </row>
    <row r="2026">
      <c r="A2026" s="137"/>
      <c r="B2026" s="136"/>
      <c r="C2026" s="136"/>
      <c r="D2026" s="136"/>
      <c r="E2026" s="137"/>
      <c r="F2026" s="137"/>
    </row>
    <row r="2027">
      <c r="A2027" s="137"/>
      <c r="B2027" s="136"/>
      <c r="C2027" s="136"/>
      <c r="D2027" s="136"/>
      <c r="E2027" s="137"/>
      <c r="F2027" s="137"/>
    </row>
    <row r="2028">
      <c r="A2028" s="137"/>
      <c r="B2028" s="136"/>
      <c r="C2028" s="136"/>
      <c r="D2028" s="136"/>
      <c r="E2028" s="137"/>
      <c r="F2028" s="137"/>
    </row>
    <row r="2029">
      <c r="A2029" s="137"/>
      <c r="B2029" s="136"/>
      <c r="C2029" s="136"/>
      <c r="D2029" s="136"/>
      <c r="E2029" s="137"/>
      <c r="F2029" s="137"/>
    </row>
    <row r="2030">
      <c r="A2030" s="137"/>
      <c r="B2030" s="136"/>
      <c r="C2030" s="136"/>
      <c r="D2030" s="136"/>
      <c r="E2030" s="137"/>
      <c r="F2030" s="137"/>
    </row>
    <row r="2031">
      <c r="A2031" s="137"/>
      <c r="B2031" s="136"/>
      <c r="C2031" s="136"/>
      <c r="D2031" s="136"/>
      <c r="E2031" s="137"/>
      <c r="F2031" s="137"/>
    </row>
    <row r="2032">
      <c r="A2032" s="137"/>
      <c r="B2032" s="136"/>
      <c r="C2032" s="136"/>
      <c r="D2032" s="136"/>
      <c r="E2032" s="137"/>
      <c r="F2032" s="137"/>
    </row>
    <row r="2033">
      <c r="A2033" s="137"/>
      <c r="B2033" s="136"/>
      <c r="C2033" s="136"/>
      <c r="D2033" s="136"/>
      <c r="E2033" s="137"/>
      <c r="F2033" s="137"/>
    </row>
    <row r="2034">
      <c r="A2034" s="137"/>
      <c r="B2034" s="136"/>
      <c r="C2034" s="136"/>
      <c r="D2034" s="136"/>
      <c r="E2034" s="137"/>
      <c r="F2034" s="137"/>
    </row>
    <row r="2035">
      <c r="A2035" s="137"/>
      <c r="B2035" s="136"/>
      <c r="C2035" s="136"/>
      <c r="D2035" s="136"/>
      <c r="E2035" s="137"/>
      <c r="F2035" s="137"/>
    </row>
    <row r="2036">
      <c r="A2036" s="137"/>
      <c r="B2036" s="136"/>
      <c r="C2036" s="136"/>
      <c r="D2036" s="136"/>
      <c r="E2036" s="137"/>
      <c r="F2036" s="137"/>
    </row>
    <row r="2037">
      <c r="A2037" s="137"/>
      <c r="B2037" s="136"/>
      <c r="C2037" s="136"/>
      <c r="D2037" s="136"/>
      <c r="E2037" s="137"/>
      <c r="F2037" s="137"/>
    </row>
    <row r="2038">
      <c r="A2038" s="137"/>
      <c r="B2038" s="136"/>
      <c r="C2038" s="136"/>
      <c r="D2038" s="136"/>
      <c r="E2038" s="137"/>
      <c r="F2038" s="137"/>
    </row>
    <row r="2039">
      <c r="A2039" s="137"/>
      <c r="B2039" s="136"/>
      <c r="C2039" s="136"/>
      <c r="D2039" s="136"/>
      <c r="E2039" s="137"/>
      <c r="F2039" s="137"/>
    </row>
    <row r="2040">
      <c r="A2040" s="137"/>
      <c r="B2040" s="136"/>
      <c r="C2040" s="136"/>
      <c r="D2040" s="136"/>
      <c r="E2040" s="137"/>
      <c r="F2040" s="137"/>
    </row>
    <row r="2041">
      <c r="A2041" s="137"/>
      <c r="B2041" s="136"/>
      <c r="C2041" s="136"/>
      <c r="D2041" s="136"/>
      <c r="E2041" s="137"/>
      <c r="F2041" s="137"/>
    </row>
    <row r="2042">
      <c r="A2042" s="137"/>
      <c r="B2042" s="136"/>
      <c r="C2042" s="136"/>
      <c r="D2042" s="136"/>
      <c r="E2042" s="137"/>
      <c r="F2042" s="137"/>
    </row>
    <row r="2043">
      <c r="A2043" s="137"/>
      <c r="B2043" s="136"/>
      <c r="C2043" s="136"/>
      <c r="D2043" s="136"/>
      <c r="E2043" s="137"/>
      <c r="F2043" s="137"/>
    </row>
    <row r="2044">
      <c r="A2044" s="137"/>
      <c r="B2044" s="136"/>
      <c r="C2044" s="136"/>
      <c r="D2044" s="136"/>
      <c r="E2044" s="137"/>
      <c r="F2044" s="137"/>
    </row>
    <row r="2045">
      <c r="A2045" s="137"/>
      <c r="B2045" s="136"/>
      <c r="C2045" s="136"/>
      <c r="D2045" s="136"/>
      <c r="E2045" s="137"/>
      <c r="F2045" s="137"/>
    </row>
    <row r="2046">
      <c r="A2046" s="137"/>
      <c r="B2046" s="136"/>
      <c r="C2046" s="136"/>
      <c r="D2046" s="136"/>
      <c r="E2046" s="137"/>
      <c r="F2046" s="137"/>
    </row>
    <row r="2047">
      <c r="A2047" s="137"/>
      <c r="B2047" s="136"/>
      <c r="C2047" s="136"/>
      <c r="D2047" s="136"/>
      <c r="E2047" s="137"/>
      <c r="F2047" s="137"/>
    </row>
    <row r="2048">
      <c r="A2048" s="137"/>
      <c r="B2048" s="136"/>
      <c r="C2048" s="136"/>
      <c r="D2048" s="136"/>
      <c r="E2048" s="137"/>
      <c r="F2048" s="137"/>
    </row>
    <row r="2049">
      <c r="A2049" s="137"/>
      <c r="B2049" s="136"/>
      <c r="C2049" s="136"/>
      <c r="D2049" s="136"/>
      <c r="E2049" s="137"/>
      <c r="F2049" s="137"/>
    </row>
    <row r="2050">
      <c r="A2050" s="137"/>
      <c r="B2050" s="136"/>
      <c r="C2050" s="136"/>
      <c r="D2050" s="136"/>
      <c r="E2050" s="137"/>
      <c r="F2050" s="13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29"/>
    <col customWidth="1" min="4" max="4" width="22.71"/>
    <col customWidth="1" min="5" max="5" width="20.14"/>
    <col customWidth="1" min="6" max="7" width="21.86"/>
    <col customWidth="1" min="8" max="8" width="29.86"/>
    <col customWidth="1" min="18" max="18" width="15.14"/>
    <col customWidth="1" min="19" max="19" width="51.57"/>
  </cols>
  <sheetData>
    <row r="1">
      <c r="C1" s="138" t="s">
        <v>1420</v>
      </c>
    </row>
    <row r="2">
      <c r="K2" s="139" t="s">
        <v>1421</v>
      </c>
      <c r="L2" s="140"/>
      <c r="M2" s="140"/>
      <c r="N2" s="141"/>
    </row>
    <row r="3">
      <c r="C3" s="142" t="s">
        <v>1422</v>
      </c>
      <c r="D3" s="142" t="s">
        <v>1422</v>
      </c>
      <c r="E3" s="142" t="s">
        <v>1422</v>
      </c>
      <c r="F3" s="142" t="s">
        <v>1423</v>
      </c>
      <c r="G3" s="142" t="s">
        <v>1423</v>
      </c>
      <c r="H3" s="142" t="s">
        <v>1423</v>
      </c>
      <c r="I3" s="142" t="s">
        <v>1423</v>
      </c>
    </row>
    <row r="4" ht="16.5" customHeight="1">
      <c r="A4" s="143" t="s">
        <v>1424</v>
      </c>
      <c r="C4" s="144" t="s">
        <v>1120</v>
      </c>
      <c r="D4" s="144" t="s">
        <v>1425</v>
      </c>
      <c r="E4" s="144" t="s">
        <v>1426</v>
      </c>
      <c r="F4" s="145" t="s">
        <v>1123</v>
      </c>
      <c r="G4" s="145" t="s">
        <v>1427</v>
      </c>
      <c r="H4" s="145" t="s">
        <v>1428</v>
      </c>
      <c r="I4" s="145" t="s">
        <v>1429</v>
      </c>
      <c r="K4" s="146" t="s">
        <v>1430</v>
      </c>
      <c r="L4" s="147"/>
      <c r="M4" s="147"/>
      <c r="N4" s="147"/>
      <c r="O4" s="147"/>
      <c r="P4" s="147"/>
      <c r="Q4" s="147"/>
      <c r="R4" s="147"/>
      <c r="S4" s="148"/>
    </row>
    <row r="5">
      <c r="A5" s="149" t="s">
        <v>1124</v>
      </c>
      <c r="C5" s="150" t="s">
        <v>1124</v>
      </c>
      <c r="D5" s="151" t="s">
        <v>613</v>
      </c>
      <c r="E5" s="149" t="s">
        <v>1431</v>
      </c>
      <c r="F5" s="152" t="str">
        <f>IFERROR(VLOOKUP(D5,'Riassunto Rose'!$B$2:$D$251,3,FALSE),"")</f>
        <v>C</v>
      </c>
      <c r="G5" s="152">
        <f>IFERROR(VLOOKUP(D5,'Riassunto Rose'!$B$2:$C$251,2,FALSE),"")</f>
        <v>1</v>
      </c>
      <c r="H5" s="152">
        <f>IFERROR(VLOOKUP(D5,Lista!$D$1:$F$1998,3,FALSE),"")</f>
        <v>10</v>
      </c>
      <c r="I5" s="152">
        <f t="shared" ref="I5:I120" si="1">round(if(E5="No",min(G5,H5*2)/2,G5),0)</f>
        <v>1</v>
      </c>
      <c r="K5" s="153" t="s">
        <v>1432</v>
      </c>
      <c r="S5" s="154"/>
    </row>
    <row r="6">
      <c r="A6" s="155" t="s">
        <v>1129</v>
      </c>
      <c r="C6" s="155" t="s">
        <v>1124</v>
      </c>
      <c r="D6" s="156" t="s">
        <v>1047</v>
      </c>
      <c r="E6" s="155" t="s">
        <v>1431</v>
      </c>
      <c r="F6" s="157" t="str">
        <f>IFERROR(VLOOKUP(D6,'Riassunto Rose'!$B$2:$D$251,3,FALSE),"")</f>
        <v>C</v>
      </c>
      <c r="G6" s="157">
        <f>IFERROR(VLOOKUP(D6,'Riassunto Rose'!$B$2:$C$251,2,FALSE),"")</f>
        <v>13</v>
      </c>
      <c r="H6" s="152">
        <f>IFERROR(VLOOKUP(D6,Lista!$D$1:$F$1998,3,FALSE),"")</f>
        <v>11</v>
      </c>
      <c r="I6" s="157">
        <f t="shared" si="1"/>
        <v>7</v>
      </c>
      <c r="K6" s="153" t="s">
        <v>1433</v>
      </c>
      <c r="S6" s="154"/>
    </row>
    <row r="7">
      <c r="A7" s="155" t="s">
        <v>1130</v>
      </c>
      <c r="C7" s="155" t="s">
        <v>1124</v>
      </c>
      <c r="D7" s="156" t="s">
        <v>1052</v>
      </c>
      <c r="E7" s="155" t="s">
        <v>1431</v>
      </c>
      <c r="F7" s="157" t="str">
        <f>IFERROR(VLOOKUP(D7,'Riassunto Rose'!$B$2:$D$251,3,FALSE),"")</f>
        <v>C</v>
      </c>
      <c r="G7" s="157">
        <f>IFERROR(VLOOKUP(D7,'Riassunto Rose'!$B$2:$C$251,2,FALSE),"")</f>
        <v>1</v>
      </c>
      <c r="H7" s="152">
        <f>IFERROR(VLOOKUP(D7,Lista!$D$1:$F$1998,3,FALSE),"")</f>
        <v>5</v>
      </c>
      <c r="I7" s="157">
        <f t="shared" si="1"/>
        <v>1</v>
      </c>
      <c r="K7" s="153" t="s">
        <v>1434</v>
      </c>
      <c r="S7" s="154"/>
    </row>
    <row r="8">
      <c r="A8" s="155" t="s">
        <v>1131</v>
      </c>
      <c r="C8" s="155" t="s">
        <v>1124</v>
      </c>
      <c r="D8" s="156" t="s">
        <v>774</v>
      </c>
      <c r="E8" s="155" t="s">
        <v>1431</v>
      </c>
      <c r="F8" s="157" t="str">
        <f>IFERROR(VLOOKUP(D8,'Riassunto Rose'!$B$2:$D$251,3,FALSE),"")</f>
        <v>A</v>
      </c>
      <c r="G8" s="157">
        <f>IFERROR(VLOOKUP(D8,'Riassunto Rose'!$B$2:$C$251,2,FALSE),"")</f>
        <v>20</v>
      </c>
      <c r="H8" s="152">
        <f>IFERROR(VLOOKUP(D8,Lista!$D$1:$F$1998,3,FALSE),"")</f>
        <v>11</v>
      </c>
      <c r="I8" s="157">
        <f t="shared" si="1"/>
        <v>10</v>
      </c>
      <c r="K8" s="158" t="s">
        <v>1435</v>
      </c>
      <c r="S8" s="154"/>
    </row>
    <row r="9">
      <c r="A9" s="159" t="s">
        <v>1132</v>
      </c>
      <c r="C9" s="155" t="s">
        <v>1124</v>
      </c>
      <c r="D9" s="156" t="s">
        <v>1065</v>
      </c>
      <c r="E9" s="155" t="s">
        <v>1431</v>
      </c>
      <c r="F9" s="157" t="str">
        <f>IFERROR(VLOOKUP(D9,'Riassunto Rose'!$B$2:$D$251,3,FALSE),"")</f>
        <v>A</v>
      </c>
      <c r="G9" s="157">
        <f>IFERROR(VLOOKUP(D9,'Riassunto Rose'!$B$2:$C$251,2,FALSE),"")</f>
        <v>1</v>
      </c>
      <c r="H9" s="152">
        <f>IFERROR(VLOOKUP(D9,Lista!$D$1:$F$1998,3,FALSE),"")</f>
        <v>11</v>
      </c>
      <c r="I9" s="157">
        <f t="shared" si="1"/>
        <v>1</v>
      </c>
      <c r="K9" s="158" t="s">
        <v>1436</v>
      </c>
      <c r="S9" s="154"/>
    </row>
    <row r="10">
      <c r="A10" s="155" t="s">
        <v>1133</v>
      </c>
      <c r="C10" s="155" t="s">
        <v>1133</v>
      </c>
      <c r="D10" s="156" t="s">
        <v>1080</v>
      </c>
      <c r="E10" s="155" t="s">
        <v>1431</v>
      </c>
      <c r="F10" s="157" t="str">
        <f>IFERROR(VLOOKUP(D10,'Riassunto Rose'!$B$2:$D$251,3,FALSE),"")</f>
        <v>D</v>
      </c>
      <c r="G10" s="157">
        <f>IFERROR(VLOOKUP(D10,'Riassunto Rose'!$B$2:$C$251,2,FALSE),"")</f>
        <v>6</v>
      </c>
      <c r="H10" s="152">
        <f>IFERROR(VLOOKUP(D10,Lista!$D$1:$F$1998,3,FALSE),"")</f>
        <v>2</v>
      </c>
      <c r="I10" s="157">
        <f t="shared" si="1"/>
        <v>2</v>
      </c>
      <c r="K10" s="160" t="s">
        <v>1437</v>
      </c>
      <c r="L10" s="161"/>
      <c r="M10" s="161"/>
      <c r="N10" s="161"/>
      <c r="O10" s="161"/>
      <c r="P10" s="161"/>
      <c r="Q10" s="161"/>
      <c r="R10" s="161"/>
      <c r="S10" s="162"/>
    </row>
    <row r="11">
      <c r="A11" s="159" t="s">
        <v>1134</v>
      </c>
      <c r="C11" s="155" t="s">
        <v>1133</v>
      </c>
      <c r="D11" s="156" t="s">
        <v>1100</v>
      </c>
      <c r="E11" s="155" t="s">
        <v>1431</v>
      </c>
      <c r="F11" s="157" t="str">
        <f>IFERROR(VLOOKUP(D11,'Riassunto Rose'!$B$2:$D$251,3,FALSE),"")</f>
        <v>C</v>
      </c>
      <c r="G11" s="157">
        <f>IFERROR(VLOOKUP(D11,'Riassunto Rose'!$B$2:$C$251,2,FALSE),"")</f>
        <v>1</v>
      </c>
      <c r="H11" s="152">
        <f>IFERROR(VLOOKUP(D11,Lista!$D$1:$F$1998,3,FALSE),"")</f>
        <v>1</v>
      </c>
      <c r="I11" s="157">
        <f t="shared" si="1"/>
        <v>1</v>
      </c>
    </row>
    <row r="12">
      <c r="A12" s="159" t="s">
        <v>1135</v>
      </c>
      <c r="C12" s="155" t="s">
        <v>1133</v>
      </c>
      <c r="D12" s="156" t="s">
        <v>648</v>
      </c>
      <c r="E12" s="155" t="s">
        <v>1431</v>
      </c>
      <c r="F12" s="157" t="str">
        <f>IFERROR(VLOOKUP(D12,'Riassunto Rose'!$B$2:$D$251,3,FALSE),"")</f>
        <v>A</v>
      </c>
      <c r="G12" s="157">
        <f>IFERROR(VLOOKUP(D12,'Riassunto Rose'!$B$2:$C$251,2,FALSE),"")</f>
        <v>1</v>
      </c>
      <c r="H12" s="152">
        <f>IFERROR(VLOOKUP(D12,Lista!$D$1:$F$1998,3,FALSE),"")</f>
        <v>6</v>
      </c>
      <c r="I12" s="157">
        <f t="shared" si="1"/>
        <v>1</v>
      </c>
    </row>
    <row r="13">
      <c r="A13" s="159" t="s">
        <v>1136</v>
      </c>
      <c r="C13" s="155" t="s">
        <v>1133</v>
      </c>
      <c r="D13" s="156" t="s">
        <v>1072</v>
      </c>
      <c r="E13" s="155" t="s">
        <v>1438</v>
      </c>
      <c r="F13" s="157" t="str">
        <f>IFERROR(VLOOKUP(D13,'Riassunto Rose'!$B$2:$D$251,3,FALSE),"")</f>
        <v>P</v>
      </c>
      <c r="G13" s="157">
        <f>IFERROR(VLOOKUP(D13,'Riassunto Rose'!$B$2:$C$251,2,FALSE),"")</f>
        <v>1</v>
      </c>
      <c r="H13" s="152" t="str">
        <f>IFERROR(VLOOKUP(D13,Lista!$D$1:$F$1998,3,FALSE),"")</f>
        <v/>
      </c>
      <c r="I13" s="157">
        <f t="shared" si="1"/>
        <v>1</v>
      </c>
    </row>
    <row r="14">
      <c r="A14" s="163" t="s">
        <v>1137</v>
      </c>
      <c r="C14" s="155" t="s">
        <v>1133</v>
      </c>
      <c r="D14" s="156" t="s">
        <v>1102</v>
      </c>
      <c r="E14" s="155" t="s">
        <v>1438</v>
      </c>
      <c r="F14" s="157" t="str">
        <f>IFERROR(VLOOKUP(D14,'Riassunto Rose'!$B$2:$D$251,3,FALSE),"")</f>
        <v>C</v>
      </c>
      <c r="G14" s="157">
        <f>IFERROR(VLOOKUP(D14,'Riassunto Rose'!$B$2:$C$251,2,FALSE),"")</f>
        <v>6</v>
      </c>
      <c r="H14" s="152" t="str">
        <f>IFERROR(VLOOKUP(D14,Lista!$D$1:$F$1998,3,FALSE),"")</f>
        <v/>
      </c>
      <c r="I14" s="157">
        <f t="shared" si="1"/>
        <v>6</v>
      </c>
      <c r="K14" s="164" t="s">
        <v>1439</v>
      </c>
      <c r="L14" s="147"/>
      <c r="M14" s="147"/>
      <c r="N14" s="147"/>
      <c r="O14" s="148"/>
    </row>
    <row r="15">
      <c r="C15" s="155" t="s">
        <v>1131</v>
      </c>
      <c r="D15" s="156" t="s">
        <v>864</v>
      </c>
      <c r="E15" s="155" t="s">
        <v>1438</v>
      </c>
      <c r="F15" s="157" t="str">
        <f>IFERROR(VLOOKUP(D15,'Riassunto Rose'!$B$2:$D$251,3,FALSE),"")</f>
        <v>P</v>
      </c>
      <c r="G15" s="157">
        <f>IFERROR(VLOOKUP(D15,'Riassunto Rose'!$B$2:$C$251,2,FALSE),"")</f>
        <v>2</v>
      </c>
      <c r="H15" s="152" t="str">
        <f>IFERROR(VLOOKUP(D15,Lista!$D$1:$F$1998,3,FALSE),"")</f>
        <v/>
      </c>
      <c r="I15" s="157">
        <f t="shared" si="1"/>
        <v>2</v>
      </c>
      <c r="K15" s="165" t="s">
        <v>1440</v>
      </c>
      <c r="O15" s="154"/>
    </row>
    <row r="16">
      <c r="C16" s="155" t="s">
        <v>1131</v>
      </c>
      <c r="D16" s="156" t="s">
        <v>854</v>
      </c>
      <c r="E16" s="155" t="s">
        <v>1438</v>
      </c>
      <c r="F16" s="157" t="str">
        <f>IFERROR(VLOOKUP(D16,'Riassunto Rose'!$B$2:$D$251,3,FALSE),"")</f>
        <v>A</v>
      </c>
      <c r="G16" s="157">
        <f>IFERROR(VLOOKUP(D16,'Riassunto Rose'!$B$2:$C$251,2,FALSE),"")</f>
        <v>101</v>
      </c>
      <c r="H16" s="152" t="str">
        <f>IFERROR(VLOOKUP(D16,Lista!$D$1:$F$1998,3,FALSE),"")</f>
        <v/>
      </c>
      <c r="I16" s="157">
        <f t="shared" si="1"/>
        <v>101</v>
      </c>
      <c r="K16" s="166" t="s">
        <v>1441</v>
      </c>
      <c r="L16" s="161"/>
      <c r="M16" s="161"/>
      <c r="N16" s="161"/>
      <c r="O16" s="162"/>
    </row>
    <row r="17">
      <c r="C17" s="155" t="s">
        <v>1131</v>
      </c>
      <c r="D17" s="156" t="s">
        <v>1055</v>
      </c>
      <c r="E17" s="155" t="s">
        <v>1438</v>
      </c>
      <c r="F17" s="157" t="str">
        <f>IFERROR(VLOOKUP(D17,'Riassunto Rose'!$B$2:$D$251,3,FALSE),"")</f>
        <v>C</v>
      </c>
      <c r="G17" s="157">
        <f>IFERROR(VLOOKUP(D17,'Riassunto Rose'!$B$2:$C$251,2,FALSE),"")</f>
        <v>2</v>
      </c>
      <c r="H17" s="152" t="str">
        <f>IFERROR(VLOOKUP(D17,Lista!$D$1:$F$1998,3,FALSE),"")</f>
        <v/>
      </c>
      <c r="I17" s="157">
        <f t="shared" si="1"/>
        <v>2</v>
      </c>
    </row>
    <row r="18">
      <c r="A18" s="167"/>
      <c r="C18" s="155" t="s">
        <v>1131</v>
      </c>
      <c r="D18" s="156" t="s">
        <v>663</v>
      </c>
      <c r="E18" s="155" t="s">
        <v>1431</v>
      </c>
      <c r="F18" s="157" t="str">
        <f>IFERROR(VLOOKUP(D18,'Riassunto Rose'!$B$2:$D$251,3,FALSE),"")</f>
        <v>A</v>
      </c>
      <c r="G18" s="157">
        <f>IFERROR(VLOOKUP(D18,'Riassunto Rose'!$B$2:$C$251,2,FALSE),"")</f>
        <v>4</v>
      </c>
      <c r="H18" s="152">
        <f>IFERROR(VLOOKUP(D18,Lista!$D$1:$F$1998,3,FALSE),"")</f>
        <v>8</v>
      </c>
      <c r="I18" s="157">
        <f t="shared" si="1"/>
        <v>2</v>
      </c>
    </row>
    <row r="19">
      <c r="A19" s="168" t="s">
        <v>1442</v>
      </c>
      <c r="C19" s="155" t="s">
        <v>1132</v>
      </c>
      <c r="D19" s="156" t="s">
        <v>1026</v>
      </c>
      <c r="E19" s="155" t="s">
        <v>1431</v>
      </c>
      <c r="F19" s="157" t="str">
        <f>IFERROR(VLOOKUP(D19,'Riassunto Rose'!$B$2:$D$251,3,FALSE),"")</f>
        <v>D</v>
      </c>
      <c r="G19" s="157">
        <f>IFERROR(VLOOKUP(D19,'Riassunto Rose'!$B$2:$C$251,2,FALSE),"")</f>
        <v>9</v>
      </c>
      <c r="H19" s="152">
        <f>IFERROR(VLOOKUP(D19,Lista!$D$1:$F$1998,3,FALSE),"")</f>
        <v>3</v>
      </c>
      <c r="I19" s="157">
        <f t="shared" si="1"/>
        <v>3</v>
      </c>
    </row>
    <row r="20" ht="15.0" customHeight="1">
      <c r="A20" s="167"/>
      <c r="C20" s="155" t="s">
        <v>1132</v>
      </c>
      <c r="D20" s="156" t="s">
        <v>1058</v>
      </c>
      <c r="E20" s="155" t="s">
        <v>1431</v>
      </c>
      <c r="F20" s="157" t="str">
        <f>IFERROR(VLOOKUP(D20,'Riassunto Rose'!$B$2:$D$251,3,FALSE),"")</f>
        <v>C</v>
      </c>
      <c r="G20" s="157">
        <f>IFERROR(VLOOKUP(D20,'Riassunto Rose'!$B$2:$C$251,2,FALSE),"")</f>
        <v>1</v>
      </c>
      <c r="H20" s="152">
        <f>IFERROR(VLOOKUP(D20,Lista!$D$1:$F$1998,3,FALSE),"")</f>
        <v>4</v>
      </c>
      <c r="I20" s="157">
        <f t="shared" si="1"/>
        <v>1</v>
      </c>
      <c r="K20" s="169" t="s">
        <v>1443</v>
      </c>
      <c r="L20" s="147"/>
      <c r="M20" s="147"/>
      <c r="N20" s="147"/>
      <c r="O20" s="147"/>
      <c r="P20" s="147"/>
      <c r="Q20" s="147"/>
      <c r="R20" s="148"/>
    </row>
    <row r="21">
      <c r="C21" s="155" t="s">
        <v>1133</v>
      </c>
      <c r="D21" s="170" t="s">
        <v>995</v>
      </c>
      <c r="E21" s="155" t="s">
        <v>1431</v>
      </c>
      <c r="F21" s="157" t="str">
        <f>IFERROR(VLOOKUP(D21,'Riassunto Rose'!$B$2:$D$251,3,FALSE),"")</f>
        <v>C</v>
      </c>
      <c r="G21" s="157">
        <f>IFERROR(VLOOKUP(D21,'Riassunto Rose'!$B$2:$C$251,2,FALSE),"")</f>
        <v>5</v>
      </c>
      <c r="H21" s="152">
        <f>IFERROR(VLOOKUP(D21,Lista!$D$1:$F$1998,3,FALSE),"")</f>
        <v>3</v>
      </c>
      <c r="I21" s="157">
        <f t="shared" si="1"/>
        <v>3</v>
      </c>
      <c r="K21" s="171" t="s">
        <v>1444</v>
      </c>
      <c r="L21" s="161"/>
      <c r="M21" s="161"/>
      <c r="N21" s="161"/>
      <c r="O21" s="161"/>
      <c r="P21" s="161"/>
      <c r="Q21" s="161"/>
      <c r="R21" s="162"/>
    </row>
    <row r="22">
      <c r="C22" s="155" t="s">
        <v>1129</v>
      </c>
      <c r="D22" s="156" t="s">
        <v>1016</v>
      </c>
      <c r="E22" s="155" t="s">
        <v>1438</v>
      </c>
      <c r="F22" s="157" t="str">
        <f>IFERROR(VLOOKUP(D22,'Riassunto Rose'!$B$2:$D$251,3,FALSE),"")</f>
        <v>A</v>
      </c>
      <c r="G22" s="157">
        <f>IFERROR(VLOOKUP(D22,'Riassunto Rose'!$B$2:$C$251,2,FALSE),"")</f>
        <v>1</v>
      </c>
      <c r="H22" s="152" t="str">
        <f>IFERROR(VLOOKUP(D22,Lista!$D$1:$F$1998,3,FALSE),"")</f>
        <v/>
      </c>
      <c r="I22" s="157">
        <f t="shared" si="1"/>
        <v>1</v>
      </c>
    </row>
    <row r="23">
      <c r="C23" s="155" t="s">
        <v>1129</v>
      </c>
      <c r="D23" s="156" t="s">
        <v>910</v>
      </c>
      <c r="E23" s="155" t="s">
        <v>1438</v>
      </c>
      <c r="F23" s="157" t="str">
        <f>IFERROR(VLOOKUP(D23,'Riassunto Rose'!$B$2:$D$251,3,FALSE),"")</f>
        <v>A</v>
      </c>
      <c r="G23" s="157">
        <f>IFERROR(VLOOKUP(D23,'Riassunto Rose'!$B$2:$C$251,2,FALSE),"")</f>
        <v>15</v>
      </c>
      <c r="H23" s="152" t="str">
        <f>IFERROR(VLOOKUP(D23,Lista!$D$1:$F$1998,3,FALSE),"")</f>
        <v/>
      </c>
      <c r="I23" s="157">
        <f t="shared" si="1"/>
        <v>15</v>
      </c>
    </row>
    <row r="24">
      <c r="C24" s="155" t="s">
        <v>1129</v>
      </c>
      <c r="D24" s="156" t="s">
        <v>1064</v>
      </c>
      <c r="E24" s="155" t="s">
        <v>1431</v>
      </c>
      <c r="F24" s="157" t="str">
        <f>IFERROR(VLOOKUP(D24,'Riassunto Rose'!$B$2:$D$251,3,FALSE),"")</f>
        <v>A</v>
      </c>
      <c r="G24" s="157">
        <f>IFERROR(VLOOKUP(D24,'Riassunto Rose'!$B$2:$C$251,2,FALSE),"")</f>
        <v>12</v>
      </c>
      <c r="H24" s="152">
        <f>IFERROR(VLOOKUP(D24,Lista!$D$1:$F$1998,3,FALSE),"")</f>
        <v>4</v>
      </c>
      <c r="I24" s="157">
        <f t="shared" si="1"/>
        <v>4</v>
      </c>
    </row>
    <row r="25">
      <c r="C25" s="155" t="s">
        <v>1134</v>
      </c>
      <c r="D25" s="156" t="s">
        <v>1117</v>
      </c>
      <c r="E25" s="155" t="s">
        <v>1438</v>
      </c>
      <c r="F25" s="157" t="str">
        <f>IFERROR(VLOOKUP(D25,'Riassunto Rose'!$B$2:$D$251,3,FALSE),"")</f>
        <v>A</v>
      </c>
      <c r="G25" s="157">
        <f>IFERROR(VLOOKUP(D25,'Riassunto Rose'!$B$2:$C$251,2,FALSE),"")</f>
        <v>1</v>
      </c>
      <c r="H25" s="152" t="str">
        <f>IFERROR(VLOOKUP(D25,Lista!$D$1:$F$1998,3,FALSE),"")</f>
        <v/>
      </c>
      <c r="I25" s="157">
        <f t="shared" si="1"/>
        <v>1</v>
      </c>
      <c r="K25" s="172" t="s">
        <v>1445</v>
      </c>
      <c r="L25" s="147"/>
      <c r="M25" s="147"/>
      <c r="N25" s="147"/>
      <c r="O25" s="147"/>
      <c r="P25" s="173"/>
    </row>
    <row r="26">
      <c r="C26" s="155" t="s">
        <v>1134</v>
      </c>
      <c r="D26" s="156" t="s">
        <v>1092</v>
      </c>
      <c r="E26" s="155" t="s">
        <v>1431</v>
      </c>
      <c r="F26" s="157" t="str">
        <f>IFERROR(VLOOKUP(D26,'Riassunto Rose'!$B$2:$D$251,3,FALSE),"")</f>
        <v>C</v>
      </c>
      <c r="G26" s="157">
        <f>IFERROR(VLOOKUP(D26,'Riassunto Rose'!$B$2:$C$251,2,FALSE),"")</f>
        <v>2</v>
      </c>
      <c r="H26" s="152">
        <f>IFERROR(VLOOKUP(D26,Lista!$D$1:$F$1998,3,FALSE),"")</f>
        <v>6</v>
      </c>
      <c r="I26" s="157">
        <f t="shared" si="1"/>
        <v>1</v>
      </c>
      <c r="K26" s="158" t="s">
        <v>1446</v>
      </c>
      <c r="P26" s="174"/>
    </row>
    <row r="27">
      <c r="C27" s="155" t="s">
        <v>1134</v>
      </c>
      <c r="D27" s="156" t="s">
        <v>1078</v>
      </c>
      <c r="E27" s="155" t="s">
        <v>1431</v>
      </c>
      <c r="F27" s="157" t="str">
        <f>IFERROR(VLOOKUP(D27,'Riassunto Rose'!$B$2:$D$251,3,FALSE),"")</f>
        <v>D</v>
      </c>
      <c r="G27" s="157">
        <f>IFERROR(VLOOKUP(D27,'Riassunto Rose'!$B$2:$C$251,2,FALSE),"")</f>
        <v>4</v>
      </c>
      <c r="H27" s="152">
        <f>IFERROR(VLOOKUP(D27,Lista!$D$1:$F$1998,3,FALSE),"")</f>
        <v>4</v>
      </c>
      <c r="I27" s="157">
        <f t="shared" si="1"/>
        <v>2</v>
      </c>
      <c r="K27" s="160" t="s">
        <v>1447</v>
      </c>
      <c r="L27" s="161"/>
      <c r="M27" s="161"/>
      <c r="N27" s="161"/>
      <c r="O27" s="161"/>
      <c r="P27" s="162"/>
    </row>
    <row r="28">
      <c r="C28" s="155" t="s">
        <v>1134</v>
      </c>
      <c r="D28" s="156" t="s">
        <v>1073</v>
      </c>
      <c r="E28" s="155" t="s">
        <v>1431</v>
      </c>
      <c r="F28" s="157" t="str">
        <f>IFERROR(VLOOKUP(D28,'Riassunto Rose'!$B$2:$D$251,3,FALSE),"")</f>
        <v>P</v>
      </c>
      <c r="G28" s="157">
        <f>IFERROR(VLOOKUP(D28,'Riassunto Rose'!$B$2:$C$251,2,FALSE),"")</f>
        <v>1</v>
      </c>
      <c r="H28" s="152">
        <f>IFERROR(VLOOKUP(D28,Lista!$D$1:$F$1998,3,FALSE),"")</f>
        <v>1</v>
      </c>
      <c r="I28" s="157">
        <f t="shared" si="1"/>
        <v>1</v>
      </c>
    </row>
    <row r="29">
      <c r="C29" s="155" t="s">
        <v>1137</v>
      </c>
      <c r="D29" s="156" t="s">
        <v>1089</v>
      </c>
      <c r="E29" s="155" t="s">
        <v>1438</v>
      </c>
      <c r="F29" s="157" t="str">
        <f>IFERROR(VLOOKUP(D29,'Riassunto Rose'!$B$2:$D$251,3,FALSE),"")</f>
        <v>C</v>
      </c>
      <c r="G29" s="157">
        <f>IFERROR(VLOOKUP(D29,'Riassunto Rose'!$B$2:$C$251,2,FALSE),"")</f>
        <v>23</v>
      </c>
      <c r="H29" s="152" t="str">
        <f>IFERROR(VLOOKUP(D29,Lista!$D$1:$F$1998,3,FALSE),"")</f>
        <v/>
      </c>
      <c r="I29" s="157">
        <f t="shared" si="1"/>
        <v>23</v>
      </c>
    </row>
    <row r="30">
      <c r="C30" s="155" t="s">
        <v>1137</v>
      </c>
      <c r="D30" s="156" t="s">
        <v>639</v>
      </c>
      <c r="E30" s="155" t="s">
        <v>1438</v>
      </c>
      <c r="F30" s="157" t="str">
        <f>IFERROR(VLOOKUP(D30,'Riassunto Rose'!$B$2:$D$251,3,FALSE),"")</f>
        <v>A</v>
      </c>
      <c r="G30" s="157">
        <f>IFERROR(VLOOKUP(D30,'Riassunto Rose'!$B$2:$C$251,2,FALSE),"")</f>
        <v>6</v>
      </c>
      <c r="H30" s="152" t="str">
        <f>IFERROR(VLOOKUP(D30,Lista!$D$1:$F$1998,3,FALSE),"")</f>
        <v/>
      </c>
      <c r="I30" s="157">
        <f t="shared" si="1"/>
        <v>6</v>
      </c>
    </row>
    <row r="31">
      <c r="C31" s="155" t="s">
        <v>1137</v>
      </c>
      <c r="D31" s="156" t="s">
        <v>660</v>
      </c>
      <c r="E31" s="155" t="s">
        <v>1438</v>
      </c>
      <c r="F31" s="157" t="str">
        <f>IFERROR(VLOOKUP(D31,'Riassunto Rose'!$B$2:$D$251,3,FALSE),"")</f>
        <v>A</v>
      </c>
      <c r="G31" s="157">
        <f>IFERROR(VLOOKUP(D31,'Riassunto Rose'!$B$2:$C$251,2,FALSE),"")</f>
        <v>14</v>
      </c>
      <c r="H31" s="152" t="str">
        <f>IFERROR(VLOOKUP(D31,Lista!$D$1:$F$1998,3,FALSE),"")</f>
        <v/>
      </c>
      <c r="I31" s="157">
        <f t="shared" si="1"/>
        <v>14</v>
      </c>
    </row>
    <row r="32">
      <c r="C32" s="155" t="s">
        <v>1137</v>
      </c>
      <c r="D32" s="156" t="s">
        <v>959</v>
      </c>
      <c r="E32" s="155" t="s">
        <v>1431</v>
      </c>
      <c r="F32" s="157" t="str">
        <f>IFERROR(VLOOKUP(D32,'Riassunto Rose'!$B$2:$D$251,3,FALSE),"")</f>
        <v>A</v>
      </c>
      <c r="G32" s="157">
        <f>IFERROR(VLOOKUP(D32,'Riassunto Rose'!$B$2:$C$251,2,FALSE),"")</f>
        <v>41</v>
      </c>
      <c r="H32" s="152">
        <f>IFERROR(VLOOKUP(D32,Lista!$D$1:$F$1998,3,FALSE),"")</f>
        <v>14</v>
      </c>
      <c r="I32" s="157">
        <f t="shared" si="1"/>
        <v>14</v>
      </c>
    </row>
    <row r="33">
      <c r="C33" s="155" t="s">
        <v>1137</v>
      </c>
      <c r="D33" s="156" t="s">
        <v>964</v>
      </c>
      <c r="E33" s="155" t="s">
        <v>1431</v>
      </c>
      <c r="F33" s="157" t="str">
        <f>IFERROR(VLOOKUP(D33,'Riassunto Rose'!$B$2:$D$251,3,FALSE),"")</f>
        <v>A</v>
      </c>
      <c r="G33" s="157">
        <f>IFERROR(VLOOKUP(D33,'Riassunto Rose'!$B$2:$C$251,2,FALSE),"")</f>
        <v>19</v>
      </c>
      <c r="H33" s="152">
        <f>IFERROR(VLOOKUP(D33,Lista!$D$1:$F$1998,3,FALSE),"")</f>
        <v>8</v>
      </c>
      <c r="I33" s="157">
        <f t="shared" si="1"/>
        <v>8</v>
      </c>
    </row>
    <row r="34">
      <c r="C34" s="155" t="s">
        <v>1137</v>
      </c>
      <c r="D34" s="156" t="s">
        <v>1009</v>
      </c>
      <c r="E34" s="155" t="s">
        <v>1431</v>
      </c>
      <c r="F34" s="157" t="str">
        <f>IFERROR(VLOOKUP(D34,'Riassunto Rose'!$B$2:$D$251,3,FALSE),"")</f>
        <v>C</v>
      </c>
      <c r="G34" s="157">
        <f>IFERROR(VLOOKUP(D34,'Riassunto Rose'!$B$2:$C$251,2,FALSE),"")</f>
        <v>5</v>
      </c>
      <c r="H34" s="152">
        <f>IFERROR(VLOOKUP(D34,Lista!$D$1:$F$1998,3,FALSE),"")</f>
        <v>3</v>
      </c>
      <c r="I34" s="157">
        <f t="shared" si="1"/>
        <v>3</v>
      </c>
    </row>
    <row r="35">
      <c r="C35" s="155" t="s">
        <v>1137</v>
      </c>
      <c r="D35" s="156" t="s">
        <v>1071</v>
      </c>
      <c r="E35" s="155" t="s">
        <v>1431</v>
      </c>
      <c r="F35" s="157" t="str">
        <f>IFERROR(VLOOKUP(D35,'Riassunto Rose'!$B$2:$D$251,3,FALSE),"")</f>
        <v>P</v>
      </c>
      <c r="G35" s="157">
        <f>IFERROR(VLOOKUP(D35,'Riassunto Rose'!$B$2:$C$251,2,FALSE),"")</f>
        <v>4</v>
      </c>
      <c r="H35" s="152">
        <f>IFERROR(VLOOKUP(D35,Lista!$D$1:$F$1998,3,FALSE),"")</f>
        <v>2</v>
      </c>
      <c r="I35" s="157">
        <f t="shared" si="1"/>
        <v>2</v>
      </c>
    </row>
    <row r="36">
      <c r="C36" s="155" t="s">
        <v>1136</v>
      </c>
      <c r="D36" s="156" t="s">
        <v>849</v>
      </c>
      <c r="E36" s="155" t="s">
        <v>1438</v>
      </c>
      <c r="F36" s="157" t="str">
        <f>IFERROR(VLOOKUP(D36,'Riassunto Rose'!$B$2:$D$251,3,FALSE),"")</f>
        <v>A</v>
      </c>
      <c r="G36" s="157">
        <f>IFERROR(VLOOKUP(D36,'Riassunto Rose'!$B$2:$C$251,2,FALSE),"")</f>
        <v>14</v>
      </c>
      <c r="H36" s="152" t="str">
        <f>IFERROR(VLOOKUP(D36,Lista!$D$1:$F$1998,3,FALSE),"")</f>
        <v/>
      </c>
      <c r="I36" s="157">
        <f t="shared" si="1"/>
        <v>14</v>
      </c>
    </row>
    <row r="37">
      <c r="C37" s="155" t="s">
        <v>1136</v>
      </c>
      <c r="D37" s="156" t="s">
        <v>1096</v>
      </c>
      <c r="E37" s="155" t="s">
        <v>1438</v>
      </c>
      <c r="F37" s="157" t="str">
        <f>IFERROR(VLOOKUP(D37,'Riassunto Rose'!$B$2:$D$251,3,FALSE),"")</f>
        <v>C</v>
      </c>
      <c r="G37" s="157">
        <f>IFERROR(VLOOKUP(D37,'Riassunto Rose'!$B$2:$C$251,2,FALSE),"")</f>
        <v>9</v>
      </c>
      <c r="H37" s="152" t="str">
        <f>IFERROR(VLOOKUP(D37,Lista!$D$1:$F$1998,3,FALSE),"")</f>
        <v/>
      </c>
      <c r="I37" s="157">
        <f t="shared" si="1"/>
        <v>9</v>
      </c>
    </row>
    <row r="38">
      <c r="C38" s="155" t="s">
        <v>1136</v>
      </c>
      <c r="D38" s="156" t="s">
        <v>1104</v>
      </c>
      <c r="E38" s="155" t="s">
        <v>1438</v>
      </c>
      <c r="F38" s="157" t="str">
        <f>IFERROR(VLOOKUP(D38,'Riassunto Rose'!$B$2:$D$251,3,FALSE),"")</f>
        <v>C</v>
      </c>
      <c r="G38" s="157">
        <f>IFERROR(VLOOKUP(D38,'Riassunto Rose'!$B$2:$C$251,2,FALSE),"")</f>
        <v>1</v>
      </c>
      <c r="H38" s="152" t="str">
        <f>IFERROR(VLOOKUP(D38,Lista!$D$1:$F$1998,3,FALSE),"")</f>
        <v/>
      </c>
      <c r="I38" s="157">
        <f t="shared" si="1"/>
        <v>1</v>
      </c>
    </row>
    <row r="39">
      <c r="C39" s="155" t="s">
        <v>1130</v>
      </c>
      <c r="D39" s="170" t="s">
        <v>1023</v>
      </c>
      <c r="E39" s="155" t="s">
        <v>1431</v>
      </c>
      <c r="F39" s="157" t="str">
        <f>IFERROR(VLOOKUP(D39,'Riassunto Rose'!$B$2:$D$251,3,FALSE),"")</f>
        <v>P</v>
      </c>
      <c r="G39" s="157">
        <f>IFERROR(VLOOKUP(D39,'Riassunto Rose'!$B$2:$C$251,2,FALSE),"")</f>
        <v>2</v>
      </c>
      <c r="H39" s="152">
        <f>IFERROR(VLOOKUP(D39,Lista!$D$1:$F$1998,3,FALSE),"")</f>
        <v>9</v>
      </c>
      <c r="I39" s="157">
        <f t="shared" si="1"/>
        <v>1</v>
      </c>
    </row>
    <row r="40">
      <c r="C40" s="155" t="s">
        <v>1130</v>
      </c>
      <c r="D40" s="170" t="s">
        <v>700</v>
      </c>
      <c r="E40" s="155" t="s">
        <v>1431</v>
      </c>
      <c r="F40" s="157" t="str">
        <f>IFERROR(VLOOKUP(D40,'Riassunto Rose'!$B$2:$D$251,3,FALSE),"")</f>
        <v>D</v>
      </c>
      <c r="G40" s="157">
        <f>IFERROR(VLOOKUP(D40,'Riassunto Rose'!$B$2:$C$251,2,FALSE),"")</f>
        <v>2</v>
      </c>
      <c r="H40" s="152">
        <f>IFERROR(VLOOKUP(D40,Lista!$D$1:$F$1998,3,FALSE),"")</f>
        <v>4</v>
      </c>
      <c r="I40" s="157">
        <f t="shared" si="1"/>
        <v>1</v>
      </c>
    </row>
    <row r="41">
      <c r="C41" s="155" t="s">
        <v>1130</v>
      </c>
      <c r="D41" s="170" t="s">
        <v>1022</v>
      </c>
      <c r="E41" s="155" t="s">
        <v>1431</v>
      </c>
      <c r="F41" s="157" t="str">
        <f>IFERROR(VLOOKUP(D41,'Riassunto Rose'!$B$2:$D$251,3,FALSE),"")</f>
        <v>P</v>
      </c>
      <c r="G41" s="157">
        <f>IFERROR(VLOOKUP(D41,'Riassunto Rose'!$B$2:$C$251,2,FALSE),"")</f>
        <v>8</v>
      </c>
      <c r="H41" s="152">
        <f>IFERROR(VLOOKUP(D41,Lista!$D$1:$F$1998,3,FALSE),"")</f>
        <v>10</v>
      </c>
      <c r="I41" s="157">
        <f t="shared" si="1"/>
        <v>4</v>
      </c>
    </row>
    <row r="42">
      <c r="C42" s="155" t="s">
        <v>1130</v>
      </c>
      <c r="D42" s="170" t="s">
        <v>1050</v>
      </c>
      <c r="E42" s="155" t="s">
        <v>1438</v>
      </c>
      <c r="F42" s="157" t="str">
        <f>IFERROR(VLOOKUP(D42,'Riassunto Rose'!$B$2:$D$251,3,FALSE),"")</f>
        <v>C</v>
      </c>
      <c r="G42" s="157">
        <f>IFERROR(VLOOKUP(D42,'Riassunto Rose'!$B$2:$C$251,2,FALSE),"")</f>
        <v>4</v>
      </c>
      <c r="H42" s="152" t="str">
        <f>IFERROR(VLOOKUP(D42,Lista!$D$1:$F$1998,3,FALSE),"")</f>
        <v/>
      </c>
      <c r="I42" s="157">
        <f t="shared" si="1"/>
        <v>4</v>
      </c>
    </row>
    <row r="43">
      <c r="C43" s="155" t="s">
        <v>1130</v>
      </c>
      <c r="D43" s="170" t="s">
        <v>1066</v>
      </c>
      <c r="E43" s="155" t="s">
        <v>1438</v>
      </c>
      <c r="F43" s="157" t="str">
        <f>IFERROR(VLOOKUP(D43,'Riassunto Rose'!$B$2:$D$251,3,FALSE),"")</f>
        <v>A</v>
      </c>
      <c r="G43" s="157">
        <f>IFERROR(VLOOKUP(D43,'Riassunto Rose'!$B$2:$C$251,2,FALSE),"")</f>
        <v>4</v>
      </c>
      <c r="H43" s="152" t="str">
        <f>IFERROR(VLOOKUP(D43,Lista!$D$1:$F$1998,3,FALSE),"")</f>
        <v/>
      </c>
      <c r="I43" s="157">
        <f t="shared" si="1"/>
        <v>4</v>
      </c>
    </row>
    <row r="44">
      <c r="C44" s="155" t="s">
        <v>1130</v>
      </c>
      <c r="D44" s="170" t="s">
        <v>1043</v>
      </c>
      <c r="E44" s="155" t="s">
        <v>1431</v>
      </c>
      <c r="F44" s="157" t="str">
        <f>IFERROR(VLOOKUP(D44,'Riassunto Rose'!$B$2:$D$251,3,FALSE),"")</f>
        <v>C</v>
      </c>
      <c r="G44" s="157">
        <f>IFERROR(VLOOKUP(D44,'Riassunto Rose'!$B$2:$C$251,2,FALSE),"")</f>
        <v>21</v>
      </c>
      <c r="H44" s="152">
        <f>IFERROR(VLOOKUP(D44,Lista!$D$1:$F$1998,3,FALSE),"")</f>
        <v>9</v>
      </c>
      <c r="I44" s="157">
        <f t="shared" si="1"/>
        <v>9</v>
      </c>
    </row>
    <row r="45">
      <c r="C45" s="155" t="s">
        <v>1135</v>
      </c>
      <c r="D45" s="170" t="s">
        <v>565</v>
      </c>
      <c r="E45" s="155" t="s">
        <v>1431</v>
      </c>
      <c r="F45" s="157" t="str">
        <f>IFERROR(VLOOKUP(D45,'Riassunto Rose'!$B$2:$D$251,3,FALSE),"")</f>
        <v>D</v>
      </c>
      <c r="G45" s="157">
        <f>IFERROR(VLOOKUP(D45,'Riassunto Rose'!$B$2:$C$251,2,FALSE),"")</f>
        <v>9</v>
      </c>
      <c r="H45" s="152">
        <f>IFERROR(VLOOKUP(D45,Lista!$D$1:$F$1998,3,FALSE),"")</f>
        <v>2</v>
      </c>
      <c r="I45" s="157">
        <f t="shared" si="1"/>
        <v>2</v>
      </c>
    </row>
    <row r="46">
      <c r="C46" s="155" t="s">
        <v>1135</v>
      </c>
      <c r="D46" s="170" t="s">
        <v>834</v>
      </c>
      <c r="E46" s="155" t="s">
        <v>1438</v>
      </c>
      <c r="F46" s="157" t="str">
        <f>IFERROR(VLOOKUP(D46,'Riassunto Rose'!$B$2:$D$251,3,FALSE),"")</f>
        <v>C</v>
      </c>
      <c r="G46" s="157">
        <f>IFERROR(VLOOKUP(D46,'Riassunto Rose'!$B$2:$C$251,2,FALSE),"")</f>
        <v>7</v>
      </c>
      <c r="H46" s="152" t="str">
        <f>IFERROR(VLOOKUP(D46,Lista!$D$1:$F$1998,3,FALSE),"")</f>
        <v/>
      </c>
      <c r="I46" s="157">
        <f t="shared" si="1"/>
        <v>7</v>
      </c>
    </row>
    <row r="47">
      <c r="C47" s="155" t="s">
        <v>1135</v>
      </c>
      <c r="D47" s="170" t="s">
        <v>727</v>
      </c>
      <c r="E47" s="155" t="s">
        <v>1431</v>
      </c>
      <c r="F47" s="157" t="str">
        <f>IFERROR(VLOOKUP(D47,'Riassunto Rose'!$B$2:$D$251,3,FALSE),"")</f>
        <v>C</v>
      </c>
      <c r="G47" s="157">
        <f>IFERROR(VLOOKUP(D47,'Riassunto Rose'!$B$2:$C$251,2,FALSE),"")</f>
        <v>7</v>
      </c>
      <c r="H47" s="152">
        <f>IFERROR(VLOOKUP(D47,Lista!$D$1:$F$1998,3,FALSE),"")</f>
        <v>4</v>
      </c>
      <c r="I47" s="157">
        <f t="shared" si="1"/>
        <v>4</v>
      </c>
    </row>
    <row r="48">
      <c r="C48" s="155" t="s">
        <v>1135</v>
      </c>
      <c r="D48" s="170" t="s">
        <v>942</v>
      </c>
      <c r="E48" s="155" t="s">
        <v>1431</v>
      </c>
      <c r="F48" s="157" t="str">
        <f>IFERROR(VLOOKUP(D48,'Riassunto Rose'!$B$2:$D$251,3,FALSE),"")</f>
        <v>C</v>
      </c>
      <c r="G48" s="157">
        <f>IFERROR(VLOOKUP(D48,'Riassunto Rose'!$B$2:$C$251,2,FALSE),"")</f>
        <v>10</v>
      </c>
      <c r="H48" s="152">
        <f>IFERROR(VLOOKUP(D48,Lista!$D$1:$F$1998,3,FALSE),"")</f>
        <v>16</v>
      </c>
      <c r="I48" s="157">
        <f t="shared" si="1"/>
        <v>5</v>
      </c>
    </row>
    <row r="49">
      <c r="C49" s="155" t="s">
        <v>1135</v>
      </c>
      <c r="D49" s="170" t="s">
        <v>787</v>
      </c>
      <c r="E49" s="155" t="s">
        <v>1438</v>
      </c>
      <c r="F49" s="157" t="str">
        <f>IFERROR(VLOOKUP(D49,'Riassunto Rose'!$B$2:$D$251,3,FALSE),"")</f>
        <v>A</v>
      </c>
      <c r="G49" s="157">
        <f>IFERROR(VLOOKUP(D49,'Riassunto Rose'!$B$2:$C$251,2,FALSE),"")</f>
        <v>43</v>
      </c>
      <c r="H49" s="152" t="str">
        <f>IFERROR(VLOOKUP(D49,Lista!$D$1:$F$1998,3,FALSE),"")</f>
        <v/>
      </c>
      <c r="I49" s="157">
        <f t="shared" si="1"/>
        <v>43</v>
      </c>
    </row>
    <row r="50">
      <c r="C50" s="155" t="s">
        <v>1135</v>
      </c>
      <c r="D50" s="170" t="s">
        <v>1112</v>
      </c>
      <c r="E50" s="155" t="s">
        <v>1431</v>
      </c>
      <c r="F50" s="157" t="str">
        <f>IFERROR(VLOOKUP(D50,'Riassunto Rose'!$B$2:$D$251,3,FALSE),"")</f>
        <v>A</v>
      </c>
      <c r="G50" s="157">
        <f>IFERROR(VLOOKUP(D50,'Riassunto Rose'!$B$2:$C$251,2,FALSE),"")</f>
        <v>23</v>
      </c>
      <c r="H50" s="152">
        <f>IFERROR(VLOOKUP(D50,Lista!$D$1:$F$1998,3,FALSE),"")</f>
        <v>12</v>
      </c>
      <c r="I50" s="157">
        <f t="shared" si="1"/>
        <v>12</v>
      </c>
    </row>
    <row r="51">
      <c r="C51" s="155" t="s">
        <v>1131</v>
      </c>
      <c r="D51" s="156" t="s">
        <v>985</v>
      </c>
      <c r="E51" s="155" t="s">
        <v>1431</v>
      </c>
      <c r="F51" s="157" t="str">
        <f>IFERROR(VLOOKUP(D51,'Riassunto Rose'!$B$2:$D$251,3,FALSE),"")</f>
        <v>D</v>
      </c>
      <c r="G51" s="157">
        <f>IFERROR(VLOOKUP(D51,'Riassunto Rose'!$B$2:$C$251,2,FALSE),"")</f>
        <v>24</v>
      </c>
      <c r="H51" s="152">
        <f>IFERROR(VLOOKUP(D51,Lista!$D$1:$F$1998,3,FALSE),"")</f>
        <v>6</v>
      </c>
      <c r="I51" s="157">
        <f t="shared" si="1"/>
        <v>6</v>
      </c>
    </row>
    <row r="52">
      <c r="C52" s="155" t="s">
        <v>1124</v>
      </c>
      <c r="D52" s="156" t="s">
        <v>651</v>
      </c>
      <c r="E52" s="155" t="s">
        <v>1431</v>
      </c>
      <c r="F52" s="157" t="str">
        <f>IFERROR(VLOOKUP(D52,'Riassunto Rose'!$B$2:$D$251,3,FALSE),"")</f>
        <v>A</v>
      </c>
      <c r="G52" s="157">
        <f>IFERROR(VLOOKUP(D52,'Riassunto Rose'!$B$2:$C$251,2,FALSE),"")</f>
        <v>15</v>
      </c>
      <c r="H52" s="152">
        <f>IFERROR(VLOOKUP(D52,Lista!$D$1:$F$1998,3,FALSE),"")</f>
        <v>6</v>
      </c>
      <c r="I52" s="157">
        <f t="shared" si="1"/>
        <v>6</v>
      </c>
    </row>
    <row r="53">
      <c r="C53" s="155" t="s">
        <v>1124</v>
      </c>
      <c r="D53" s="156" t="s">
        <v>994</v>
      </c>
      <c r="E53" s="155" t="s">
        <v>1431</v>
      </c>
      <c r="F53" s="157" t="str">
        <f>IFERROR(VLOOKUP(D53,'Riassunto Rose'!$B$2:$D$251,3,FALSE),"")</f>
        <v>D</v>
      </c>
      <c r="G53" s="157">
        <f>IFERROR(VLOOKUP(D53,'Riassunto Rose'!$B$2:$C$251,2,FALSE),"")</f>
        <v>2</v>
      </c>
      <c r="H53" s="152">
        <f>IFERROR(VLOOKUP(D53,Lista!$D$1:$F$1998,3,FALSE),"")</f>
        <v>6</v>
      </c>
      <c r="I53" s="157">
        <f t="shared" si="1"/>
        <v>1</v>
      </c>
    </row>
    <row r="54">
      <c r="C54" s="155"/>
      <c r="D54" s="175"/>
      <c r="E54" s="155" t="s">
        <v>1431</v>
      </c>
      <c r="F54" s="157" t="str">
        <f>IFERROR(VLOOKUP(D54,'Riassunto Rose'!$B$2:$D$251,3,FALSE),"")</f>
        <v/>
      </c>
      <c r="G54" s="157" t="str">
        <f>IFERROR(VLOOKUP(D54,'Riassunto Rose'!$B$2:$C$251,2,FALSE),"")</f>
        <v/>
      </c>
      <c r="H54" s="152" t="str">
        <f>IFERROR(VLOOKUP(D54,Lista!$D$1:$F$1998,3,FALSE),"")</f>
        <v/>
      </c>
      <c r="I54" s="157">
        <f t="shared" si="1"/>
        <v>0</v>
      </c>
    </row>
    <row r="55">
      <c r="C55" s="155"/>
      <c r="D55" s="175"/>
      <c r="E55" s="155" t="s">
        <v>1431</v>
      </c>
      <c r="F55" s="157" t="str">
        <f>IFERROR(VLOOKUP(D55,'Riassunto Rose'!$B$2:$D$251,3,FALSE),"")</f>
        <v/>
      </c>
      <c r="G55" s="157" t="str">
        <f>IFERROR(VLOOKUP(D55,'Riassunto Rose'!$B$2:$C$251,2,FALSE),"")</f>
        <v/>
      </c>
      <c r="H55" s="152" t="str">
        <f>IFERROR(VLOOKUP(D55,Lista!$D$1:$F$1998,3,FALSE),"")</f>
        <v/>
      </c>
      <c r="I55" s="157">
        <f t="shared" si="1"/>
        <v>0</v>
      </c>
    </row>
    <row r="56">
      <c r="C56" s="155"/>
      <c r="D56" s="175"/>
      <c r="E56" s="155" t="s">
        <v>1431</v>
      </c>
      <c r="F56" s="157" t="str">
        <f>IFERROR(VLOOKUP(D56,'Riassunto Rose'!$B$2:$D$251,3,FALSE),"")</f>
        <v/>
      </c>
      <c r="G56" s="157" t="str">
        <f>IFERROR(VLOOKUP(D56,'Riassunto Rose'!$B$2:$C$251,2,FALSE),"")</f>
        <v/>
      </c>
      <c r="H56" s="152" t="str">
        <f>IFERROR(VLOOKUP(D56,Lista!$D$1:$F$1998,3,FALSE),"")</f>
        <v/>
      </c>
      <c r="I56" s="157">
        <f t="shared" si="1"/>
        <v>0</v>
      </c>
    </row>
    <row r="57">
      <c r="C57" s="155"/>
      <c r="D57" s="175"/>
      <c r="E57" s="155" t="s">
        <v>1431</v>
      </c>
      <c r="F57" s="157" t="str">
        <f>IFERROR(VLOOKUP(D57,'Riassunto Rose'!$B$2:$D$251,3,FALSE),"")</f>
        <v/>
      </c>
      <c r="G57" s="157" t="str">
        <f>IFERROR(VLOOKUP(D57,'Riassunto Rose'!$B$2:$C$251,2,FALSE),"")</f>
        <v/>
      </c>
      <c r="H57" s="152" t="str">
        <f>IFERROR(VLOOKUP(D57,Lista!$D$1:$F$1998,3,FALSE),"")</f>
        <v/>
      </c>
      <c r="I57" s="157">
        <f t="shared" si="1"/>
        <v>0</v>
      </c>
    </row>
    <row r="58">
      <c r="C58" s="155"/>
      <c r="D58" s="175"/>
      <c r="E58" s="155" t="s">
        <v>1431</v>
      </c>
      <c r="F58" s="157" t="str">
        <f>IFERROR(VLOOKUP(D58,'Riassunto Rose'!$B$2:$D$251,3,FALSE),"")</f>
        <v/>
      </c>
      <c r="G58" s="157" t="str">
        <f>IFERROR(VLOOKUP(D58,'Riassunto Rose'!$B$2:$C$251,2,FALSE),"")</f>
        <v/>
      </c>
      <c r="H58" s="152" t="str">
        <f>IFERROR(VLOOKUP(D58,Lista!$D$1:$F$1998,3,FALSE),"")</f>
        <v/>
      </c>
      <c r="I58" s="157">
        <f t="shared" si="1"/>
        <v>0</v>
      </c>
    </row>
    <row r="59">
      <c r="C59" s="155"/>
      <c r="D59" s="175"/>
      <c r="E59" s="155" t="s">
        <v>1431</v>
      </c>
      <c r="F59" s="157" t="str">
        <f>IFERROR(VLOOKUP(D59,'Riassunto Rose'!$B$2:$D$251,3,FALSE),"")</f>
        <v/>
      </c>
      <c r="G59" s="157" t="str">
        <f>IFERROR(VLOOKUP(D59,'Riassunto Rose'!$B$2:$C$251,2,FALSE),"")</f>
        <v/>
      </c>
      <c r="H59" s="152" t="str">
        <f>IFERROR(VLOOKUP(D59,Lista!$D$1:$F$1998,3,FALSE),"")</f>
        <v/>
      </c>
      <c r="I59" s="157">
        <f t="shared" si="1"/>
        <v>0</v>
      </c>
    </row>
    <row r="60">
      <c r="C60" s="155"/>
      <c r="D60" s="175"/>
      <c r="E60" s="155" t="s">
        <v>1431</v>
      </c>
      <c r="F60" s="157" t="str">
        <f>IFERROR(VLOOKUP(D60,'Riassunto Rose'!$B$2:$D$251,3,FALSE),"")</f>
        <v/>
      </c>
      <c r="G60" s="157" t="str">
        <f>IFERROR(VLOOKUP(D60,'Riassunto Rose'!$B$2:$C$251,2,FALSE),"")</f>
        <v/>
      </c>
      <c r="H60" s="152" t="str">
        <f>IFERROR(VLOOKUP(D60,Lista!$D$1:$F$1998,3,FALSE),"")</f>
        <v/>
      </c>
      <c r="I60" s="157">
        <f t="shared" si="1"/>
        <v>0</v>
      </c>
    </row>
    <row r="61">
      <c r="C61" s="155"/>
      <c r="D61" s="175"/>
      <c r="E61" s="155" t="s">
        <v>1431</v>
      </c>
      <c r="F61" s="157" t="str">
        <f>IFERROR(VLOOKUP(D61,'Riassunto Rose'!$B$2:$D$251,3,FALSE),"")</f>
        <v/>
      </c>
      <c r="G61" s="157" t="str">
        <f>IFERROR(VLOOKUP(D61,'Riassunto Rose'!$B$2:$C$251,2,FALSE),"")</f>
        <v/>
      </c>
      <c r="H61" s="152" t="str">
        <f>IFERROR(VLOOKUP(D61,Lista!$D$1:$F$1998,3,FALSE),"")</f>
        <v/>
      </c>
      <c r="I61" s="157">
        <f t="shared" si="1"/>
        <v>0</v>
      </c>
    </row>
    <row r="62">
      <c r="C62" s="155"/>
      <c r="D62" s="175"/>
      <c r="E62" s="155" t="s">
        <v>1431</v>
      </c>
      <c r="F62" s="157" t="str">
        <f>IFERROR(VLOOKUP(D62,'Riassunto Rose'!$B$2:$D$251,3,FALSE),"")</f>
        <v/>
      </c>
      <c r="G62" s="157" t="str">
        <f>IFERROR(VLOOKUP(D62,'Riassunto Rose'!$B$2:$C$251,2,FALSE),"")</f>
        <v/>
      </c>
      <c r="H62" s="152" t="str">
        <f>IFERROR(VLOOKUP(D62,Lista!$D$1:$F$1998,3,FALSE),"")</f>
        <v/>
      </c>
      <c r="I62" s="157">
        <f t="shared" si="1"/>
        <v>0</v>
      </c>
    </row>
    <row r="63">
      <c r="C63" s="155"/>
      <c r="D63" s="175"/>
      <c r="E63" s="155" t="s">
        <v>1431</v>
      </c>
      <c r="F63" s="157" t="str">
        <f>IFERROR(VLOOKUP(D63,'Riassunto Rose'!$B$2:$D$251,3,FALSE),"")</f>
        <v/>
      </c>
      <c r="G63" s="157" t="str">
        <f>IFERROR(VLOOKUP(D63,'Riassunto Rose'!$B$2:$C$251,2,FALSE),"")</f>
        <v/>
      </c>
      <c r="H63" s="152" t="str">
        <f>IFERROR(VLOOKUP(D63,Lista!$D$1:$F$1998,3,FALSE),"")</f>
        <v/>
      </c>
      <c r="I63" s="157">
        <f t="shared" si="1"/>
        <v>0</v>
      </c>
    </row>
    <row r="64">
      <c r="C64" s="155"/>
      <c r="D64" s="175"/>
      <c r="E64" s="155" t="s">
        <v>1431</v>
      </c>
      <c r="F64" s="157" t="str">
        <f>IFERROR(VLOOKUP(D64,'Riassunto Rose'!$B$2:$D$251,3,FALSE),"")</f>
        <v/>
      </c>
      <c r="G64" s="157" t="str">
        <f>IFERROR(VLOOKUP(D64,'Riassunto Rose'!$B$2:$C$251,2,FALSE),"")</f>
        <v/>
      </c>
      <c r="H64" s="152" t="str">
        <f>IFERROR(VLOOKUP(D64,Lista!$D$1:$F$1998,3,FALSE),"")</f>
        <v/>
      </c>
      <c r="I64" s="157">
        <f t="shared" si="1"/>
        <v>0</v>
      </c>
    </row>
    <row r="65">
      <c r="C65" s="155"/>
      <c r="D65" s="175"/>
      <c r="E65" s="155" t="s">
        <v>1431</v>
      </c>
      <c r="F65" s="157" t="str">
        <f>IFERROR(VLOOKUP(D65,'Riassunto Rose'!$B$2:$D$251,3,FALSE),"")</f>
        <v/>
      </c>
      <c r="G65" s="157" t="str">
        <f>IFERROR(VLOOKUP(D65,'Riassunto Rose'!$B$2:$C$251,2,FALSE),"")</f>
        <v/>
      </c>
      <c r="H65" s="152" t="str">
        <f>IFERROR(VLOOKUP(D65,Lista!$D$1:$F$1998,3,FALSE),"")</f>
        <v/>
      </c>
      <c r="I65" s="157">
        <f t="shared" si="1"/>
        <v>0</v>
      </c>
    </row>
    <row r="66">
      <c r="C66" s="155"/>
      <c r="D66" s="175"/>
      <c r="E66" s="155" t="s">
        <v>1431</v>
      </c>
      <c r="F66" s="157" t="str">
        <f>IFERROR(VLOOKUP(D66,'Riassunto Rose'!$B$2:$D$251,3,FALSE),"")</f>
        <v/>
      </c>
      <c r="G66" s="157" t="str">
        <f>IFERROR(VLOOKUP(D66,'Riassunto Rose'!$B$2:$C$251,2,FALSE),"")</f>
        <v/>
      </c>
      <c r="H66" s="152" t="str">
        <f>IFERROR(VLOOKUP(D66,Lista!$D$1:$F$1998,3,FALSE),"")</f>
        <v/>
      </c>
      <c r="I66" s="157">
        <f t="shared" si="1"/>
        <v>0</v>
      </c>
    </row>
    <row r="67">
      <c r="C67" s="155"/>
      <c r="D67" s="175"/>
      <c r="E67" s="155" t="s">
        <v>1431</v>
      </c>
      <c r="F67" s="157" t="str">
        <f>IFERROR(VLOOKUP(D67,'Riassunto Rose'!$B$2:$D$251,3,FALSE),"")</f>
        <v/>
      </c>
      <c r="G67" s="157" t="str">
        <f>IFERROR(VLOOKUP(D67,'Riassunto Rose'!$B$2:$C$251,2,FALSE),"")</f>
        <v/>
      </c>
      <c r="H67" s="152" t="str">
        <f>IFERROR(VLOOKUP(D67,Lista!$D$1:$F$1998,3,FALSE),"")</f>
        <v/>
      </c>
      <c r="I67" s="157">
        <f t="shared" si="1"/>
        <v>0</v>
      </c>
    </row>
    <row r="68">
      <c r="C68" s="155"/>
      <c r="D68" s="175"/>
      <c r="E68" s="155" t="s">
        <v>1431</v>
      </c>
      <c r="F68" s="157" t="str">
        <f>IFERROR(VLOOKUP(D68,'Riassunto Rose'!$B$2:$D$251,3,FALSE),"")</f>
        <v/>
      </c>
      <c r="G68" s="157" t="str">
        <f>IFERROR(VLOOKUP(D68,'Riassunto Rose'!$B$2:$C$251,2,FALSE),"")</f>
        <v/>
      </c>
      <c r="H68" s="152" t="str">
        <f>IFERROR(VLOOKUP(D68,Lista!$D$1:$F$1998,3,FALSE),"")</f>
        <v/>
      </c>
      <c r="I68" s="157">
        <f t="shared" si="1"/>
        <v>0</v>
      </c>
    </row>
    <row r="69">
      <c r="C69" s="155"/>
      <c r="D69" s="175"/>
      <c r="E69" s="155" t="s">
        <v>1431</v>
      </c>
      <c r="F69" s="157" t="str">
        <f>IFERROR(VLOOKUP(D69,'Riassunto Rose'!$B$2:$D$251,3,FALSE),"")</f>
        <v/>
      </c>
      <c r="G69" s="157" t="str">
        <f>IFERROR(VLOOKUP(D69,'Riassunto Rose'!$B$2:$C$251,2,FALSE),"")</f>
        <v/>
      </c>
      <c r="H69" s="152" t="str">
        <f>IFERROR(VLOOKUP(D69,Lista!$D$1:$F$1998,3,FALSE),"")</f>
        <v/>
      </c>
      <c r="I69" s="157">
        <f t="shared" si="1"/>
        <v>0</v>
      </c>
    </row>
    <row r="70">
      <c r="C70" s="155"/>
      <c r="D70" s="175"/>
      <c r="E70" s="155" t="s">
        <v>1431</v>
      </c>
      <c r="F70" s="157" t="str">
        <f>IFERROR(VLOOKUP(D70,'Riassunto Rose'!$B$2:$D$251,3,FALSE),"")</f>
        <v/>
      </c>
      <c r="G70" s="157" t="str">
        <f>IFERROR(VLOOKUP(D70,'Riassunto Rose'!$B$2:$C$251,2,FALSE),"")</f>
        <v/>
      </c>
      <c r="H70" s="152" t="str">
        <f>IFERROR(VLOOKUP(D70,Lista!$D$1:$F$1998,3,FALSE),"")</f>
        <v/>
      </c>
      <c r="I70" s="157">
        <f t="shared" si="1"/>
        <v>0</v>
      </c>
    </row>
    <row r="71">
      <c r="C71" s="155"/>
      <c r="D71" s="175"/>
      <c r="E71" s="155" t="s">
        <v>1431</v>
      </c>
      <c r="F71" s="157" t="str">
        <f>IFERROR(VLOOKUP(D71,'Riassunto Rose'!$B$2:$D$251,3,FALSE),"")</f>
        <v/>
      </c>
      <c r="G71" s="157" t="str">
        <f>IFERROR(VLOOKUP(D71,'Riassunto Rose'!$B$2:$C$251,2,FALSE),"")</f>
        <v/>
      </c>
      <c r="H71" s="152" t="str">
        <f>IFERROR(VLOOKUP(D71,Lista!$D$1:$F$1998,3,FALSE),"")</f>
        <v/>
      </c>
      <c r="I71" s="157">
        <f t="shared" si="1"/>
        <v>0</v>
      </c>
    </row>
    <row r="72">
      <c r="C72" s="155"/>
      <c r="D72" s="175"/>
      <c r="E72" s="155" t="s">
        <v>1431</v>
      </c>
      <c r="F72" s="157" t="str">
        <f>IFERROR(VLOOKUP(D72,'Riassunto Rose'!$B$2:$D$251,3,FALSE),"")</f>
        <v/>
      </c>
      <c r="G72" s="157" t="str">
        <f>IFERROR(VLOOKUP(D72,'Riassunto Rose'!$B$2:$C$251,2,FALSE),"")</f>
        <v/>
      </c>
      <c r="H72" s="152" t="str">
        <f>IFERROR(VLOOKUP(D72,Lista!$D$1:$F$1998,3,FALSE),"")</f>
        <v/>
      </c>
      <c r="I72" s="157">
        <f t="shared" si="1"/>
        <v>0</v>
      </c>
    </row>
    <row r="73">
      <c r="C73" s="155"/>
      <c r="D73" s="175"/>
      <c r="E73" s="155" t="s">
        <v>1431</v>
      </c>
      <c r="F73" s="157" t="str">
        <f>IFERROR(VLOOKUP(D73,'Riassunto Rose'!$B$2:$D$251,3,FALSE),"")</f>
        <v/>
      </c>
      <c r="G73" s="157" t="str">
        <f>IFERROR(VLOOKUP(D73,'Riassunto Rose'!$B$2:$C$251,2,FALSE),"")</f>
        <v/>
      </c>
      <c r="H73" s="152" t="str">
        <f>IFERROR(VLOOKUP(D73,Lista!$D$1:$F$1998,3,FALSE),"")</f>
        <v/>
      </c>
      <c r="I73" s="157">
        <f t="shared" si="1"/>
        <v>0</v>
      </c>
    </row>
    <row r="74">
      <c r="C74" s="155"/>
      <c r="D74" s="175"/>
      <c r="E74" s="155" t="s">
        <v>1431</v>
      </c>
      <c r="F74" s="157" t="str">
        <f>IFERROR(VLOOKUP(D74,'Riassunto Rose'!$B$2:$D$251,3,FALSE),"")</f>
        <v/>
      </c>
      <c r="G74" s="157" t="str">
        <f>IFERROR(VLOOKUP(D74,'Riassunto Rose'!$B$2:$C$251,2,FALSE),"")</f>
        <v/>
      </c>
      <c r="H74" s="152" t="str">
        <f>IFERROR(VLOOKUP(D74,Lista!$D$1:$F$1998,3,FALSE),"")</f>
        <v/>
      </c>
      <c r="I74" s="157">
        <f t="shared" si="1"/>
        <v>0</v>
      </c>
    </row>
    <row r="75">
      <c r="C75" s="155"/>
      <c r="D75" s="175"/>
      <c r="E75" s="155" t="s">
        <v>1431</v>
      </c>
      <c r="F75" s="157" t="str">
        <f>IFERROR(VLOOKUP(D75,'Riassunto Rose'!$B$2:$D$251,3,FALSE),"")</f>
        <v/>
      </c>
      <c r="G75" s="157" t="str">
        <f>IFERROR(VLOOKUP(D75,'Riassunto Rose'!$B$2:$C$251,2,FALSE),"")</f>
        <v/>
      </c>
      <c r="H75" s="152" t="str">
        <f>IFERROR(VLOOKUP(D75,Lista!$D$1:$F$1998,3,FALSE),"")</f>
        <v/>
      </c>
      <c r="I75" s="157">
        <f t="shared" si="1"/>
        <v>0</v>
      </c>
    </row>
    <row r="76">
      <c r="C76" s="155"/>
      <c r="D76" s="175"/>
      <c r="E76" s="155" t="s">
        <v>1431</v>
      </c>
      <c r="F76" s="157" t="str">
        <f>IFERROR(VLOOKUP(D76,'Riassunto Rose'!$B$2:$D$251,3,FALSE),"")</f>
        <v/>
      </c>
      <c r="G76" s="157" t="str">
        <f>IFERROR(VLOOKUP(D76,'Riassunto Rose'!$B$2:$C$251,2,FALSE),"")</f>
        <v/>
      </c>
      <c r="H76" s="152" t="str">
        <f>IFERROR(VLOOKUP(D76,Lista!$D$1:$F$1998,3,FALSE),"")</f>
        <v/>
      </c>
      <c r="I76" s="157">
        <f t="shared" si="1"/>
        <v>0</v>
      </c>
    </row>
    <row r="77">
      <c r="C77" s="155"/>
      <c r="D77" s="175"/>
      <c r="E77" s="155" t="s">
        <v>1431</v>
      </c>
      <c r="F77" s="157" t="str">
        <f>IFERROR(VLOOKUP(D77,'Riassunto Rose'!$B$2:$D$251,3,FALSE),"")</f>
        <v/>
      </c>
      <c r="G77" s="157" t="str">
        <f>IFERROR(VLOOKUP(D77,'Riassunto Rose'!$B$2:$C$251,2,FALSE),"")</f>
        <v/>
      </c>
      <c r="H77" s="152" t="str">
        <f>IFERROR(VLOOKUP(D77,Lista!$D$1:$F$1998,3,FALSE),"")</f>
        <v/>
      </c>
      <c r="I77" s="157">
        <f t="shared" si="1"/>
        <v>0</v>
      </c>
    </row>
    <row r="78">
      <c r="C78" s="155"/>
      <c r="D78" s="175"/>
      <c r="E78" s="155" t="s">
        <v>1431</v>
      </c>
      <c r="F78" s="157" t="str">
        <f>IFERROR(VLOOKUP(D78,'Riassunto Rose'!$B$2:$D$251,3,FALSE),"")</f>
        <v/>
      </c>
      <c r="G78" s="157" t="str">
        <f>IFERROR(VLOOKUP(D78,'Riassunto Rose'!$B$2:$C$251,2,FALSE),"")</f>
        <v/>
      </c>
      <c r="H78" s="152" t="str">
        <f>IFERROR(VLOOKUP(D78,Lista!$D$1:$F$1998,3,FALSE),"")</f>
        <v/>
      </c>
      <c r="I78" s="157">
        <f t="shared" si="1"/>
        <v>0</v>
      </c>
    </row>
    <row r="79">
      <c r="C79" s="155"/>
      <c r="D79" s="175"/>
      <c r="E79" s="155" t="s">
        <v>1431</v>
      </c>
      <c r="F79" s="157" t="str">
        <f>IFERROR(VLOOKUP(D79,'Riassunto Rose'!$B$2:$D$251,3,FALSE),"")</f>
        <v/>
      </c>
      <c r="G79" s="157" t="str">
        <f>IFERROR(VLOOKUP(D79,'Riassunto Rose'!$B$2:$C$251,2,FALSE),"")</f>
        <v/>
      </c>
      <c r="H79" s="152" t="str">
        <f>IFERROR(VLOOKUP(D79,Lista!$D$1:$F$1998,3,FALSE),"")</f>
        <v/>
      </c>
      <c r="I79" s="157">
        <f t="shared" si="1"/>
        <v>0</v>
      </c>
    </row>
    <row r="80">
      <c r="C80" s="155"/>
      <c r="D80" s="175"/>
      <c r="E80" s="155" t="s">
        <v>1431</v>
      </c>
      <c r="F80" s="157" t="str">
        <f>IFERROR(VLOOKUP(D80,'Riassunto Rose'!$B$2:$D$251,3,FALSE),"")</f>
        <v/>
      </c>
      <c r="G80" s="157" t="str">
        <f>IFERROR(VLOOKUP(D80,'Riassunto Rose'!$B$2:$C$251,2,FALSE),"")</f>
        <v/>
      </c>
      <c r="H80" s="152" t="str">
        <f>IFERROR(VLOOKUP(D80,Lista!$D$1:$F$1998,3,FALSE),"")</f>
        <v/>
      </c>
      <c r="I80" s="157">
        <f t="shared" si="1"/>
        <v>0</v>
      </c>
    </row>
    <row r="81">
      <c r="C81" s="155"/>
      <c r="D81" s="175"/>
      <c r="E81" s="155" t="s">
        <v>1431</v>
      </c>
      <c r="F81" s="157" t="str">
        <f>IFERROR(VLOOKUP(D81,'Riassunto Rose'!$B$2:$D$251,3,FALSE),"")</f>
        <v/>
      </c>
      <c r="G81" s="157" t="str">
        <f>IFERROR(VLOOKUP(D81,'Riassunto Rose'!$B$2:$C$251,2,FALSE),"")</f>
        <v/>
      </c>
      <c r="H81" s="152" t="str">
        <f>IFERROR(VLOOKUP(D81,Lista!$D$1:$F$1998,3,FALSE),"")</f>
        <v/>
      </c>
      <c r="I81" s="157">
        <f t="shared" si="1"/>
        <v>0</v>
      </c>
    </row>
    <row r="82">
      <c r="C82" s="155"/>
      <c r="D82" s="175"/>
      <c r="E82" s="155" t="s">
        <v>1431</v>
      </c>
      <c r="F82" s="157" t="str">
        <f>IFERROR(VLOOKUP(D82,'Riassunto Rose'!$B$2:$D$251,3,FALSE),"")</f>
        <v/>
      </c>
      <c r="G82" s="157" t="str">
        <f>IFERROR(VLOOKUP(D82,'Riassunto Rose'!$B$2:$C$251,2,FALSE),"")</f>
        <v/>
      </c>
      <c r="H82" s="152" t="str">
        <f>IFERROR(VLOOKUP(D82,Lista!$D$1:$F$1998,3,FALSE),"")</f>
        <v/>
      </c>
      <c r="I82" s="157">
        <f t="shared" si="1"/>
        <v>0</v>
      </c>
    </row>
    <row r="83">
      <c r="C83" s="155"/>
      <c r="D83" s="175"/>
      <c r="E83" s="155" t="s">
        <v>1431</v>
      </c>
      <c r="F83" s="157" t="str">
        <f>IFERROR(VLOOKUP(D83,'Riassunto Rose'!$B$2:$D$251,3,FALSE),"")</f>
        <v/>
      </c>
      <c r="G83" s="157" t="str">
        <f>IFERROR(VLOOKUP(D83,'Riassunto Rose'!$B$2:$C$251,2,FALSE),"")</f>
        <v/>
      </c>
      <c r="H83" s="152" t="str">
        <f>IFERROR(VLOOKUP(D83,Lista!$D$1:$F$1998,3,FALSE),"")</f>
        <v/>
      </c>
      <c r="I83" s="157">
        <f t="shared" si="1"/>
        <v>0</v>
      </c>
    </row>
    <row r="84">
      <c r="C84" s="155"/>
      <c r="D84" s="175"/>
      <c r="E84" s="155" t="s">
        <v>1431</v>
      </c>
      <c r="F84" s="157" t="str">
        <f>IFERROR(VLOOKUP(D84,'Riassunto Rose'!$B$2:$D$251,3,FALSE),"")</f>
        <v/>
      </c>
      <c r="G84" s="157" t="str">
        <f>IFERROR(VLOOKUP(D84,'Riassunto Rose'!$B$2:$C$251,2,FALSE),"")</f>
        <v/>
      </c>
      <c r="H84" s="152" t="str">
        <f>IFERROR(VLOOKUP(D84,Lista!$D$1:$F$1998,3,FALSE),"")</f>
        <v/>
      </c>
      <c r="I84" s="157">
        <f t="shared" si="1"/>
        <v>0</v>
      </c>
    </row>
    <row r="85">
      <c r="C85" s="155"/>
      <c r="D85" s="175"/>
      <c r="E85" s="155" t="s">
        <v>1431</v>
      </c>
      <c r="F85" s="157" t="str">
        <f>IFERROR(VLOOKUP(D85,'Riassunto Rose'!$B$2:$D$251,3,FALSE),"")</f>
        <v/>
      </c>
      <c r="G85" s="157" t="str">
        <f>IFERROR(VLOOKUP(D85,'Riassunto Rose'!$B$2:$C$251,2,FALSE),"")</f>
        <v/>
      </c>
      <c r="H85" s="152" t="str">
        <f>IFERROR(VLOOKUP(D85,Lista!$D$1:$F$1998,3,FALSE),"")</f>
        <v/>
      </c>
      <c r="I85" s="157">
        <f t="shared" si="1"/>
        <v>0</v>
      </c>
    </row>
    <row r="86">
      <c r="C86" s="155"/>
      <c r="D86" s="175"/>
      <c r="E86" s="155" t="s">
        <v>1431</v>
      </c>
      <c r="F86" s="157" t="str">
        <f>IFERROR(VLOOKUP(D86,'Riassunto Rose'!$B$2:$D$251,3,FALSE),"")</f>
        <v/>
      </c>
      <c r="G86" s="157" t="str">
        <f>IFERROR(VLOOKUP(D86,'Riassunto Rose'!$B$2:$C$251,2,FALSE),"")</f>
        <v/>
      </c>
      <c r="H86" s="152" t="str">
        <f>IFERROR(VLOOKUP(D86,Lista!$D$1:$F$1998,3,FALSE),"")</f>
        <v/>
      </c>
      <c r="I86" s="157">
        <f t="shared" si="1"/>
        <v>0</v>
      </c>
    </row>
    <row r="87">
      <c r="C87" s="155"/>
      <c r="D87" s="175"/>
      <c r="E87" s="155" t="s">
        <v>1431</v>
      </c>
      <c r="F87" s="157" t="str">
        <f>IFERROR(VLOOKUP(D87,'Riassunto Rose'!$B$2:$D$251,3,FALSE),"")</f>
        <v/>
      </c>
      <c r="G87" s="157" t="str">
        <f>IFERROR(VLOOKUP(D87,'Riassunto Rose'!$B$2:$C$251,2,FALSE),"")</f>
        <v/>
      </c>
      <c r="H87" s="152" t="str">
        <f>IFERROR(VLOOKUP(D87,Lista!$D$1:$F$1998,3,FALSE),"")</f>
        <v/>
      </c>
      <c r="I87" s="157">
        <f t="shared" si="1"/>
        <v>0</v>
      </c>
    </row>
    <row r="88">
      <c r="C88" s="155"/>
      <c r="D88" s="175"/>
      <c r="E88" s="155" t="s">
        <v>1431</v>
      </c>
      <c r="F88" s="157" t="str">
        <f>IFERROR(VLOOKUP(D88,'Riassunto Rose'!$B$2:$D$251,3,FALSE),"")</f>
        <v/>
      </c>
      <c r="G88" s="157" t="str">
        <f>IFERROR(VLOOKUP(D88,'Riassunto Rose'!$B$2:$C$251,2,FALSE),"")</f>
        <v/>
      </c>
      <c r="H88" s="152" t="str">
        <f>IFERROR(VLOOKUP(D88,Lista!$D$1:$F$1998,3,FALSE),"")</f>
        <v/>
      </c>
      <c r="I88" s="157">
        <f t="shared" si="1"/>
        <v>0</v>
      </c>
    </row>
    <row r="89">
      <c r="C89" s="155"/>
      <c r="D89" s="175"/>
      <c r="E89" s="155" t="s">
        <v>1431</v>
      </c>
      <c r="F89" s="157" t="str">
        <f>IFERROR(VLOOKUP(D89,'Riassunto Rose'!$B$2:$D$251,3,FALSE),"")</f>
        <v/>
      </c>
      <c r="G89" s="157" t="str">
        <f>IFERROR(VLOOKUP(D89,'Riassunto Rose'!$B$2:$C$251,2,FALSE),"")</f>
        <v/>
      </c>
      <c r="H89" s="152" t="str">
        <f>IFERROR(VLOOKUP(D89,Lista!$D$1:$F$1998,3,FALSE),"")</f>
        <v/>
      </c>
      <c r="I89" s="157">
        <f t="shared" si="1"/>
        <v>0</v>
      </c>
    </row>
    <row r="90">
      <c r="C90" s="155"/>
      <c r="D90" s="175"/>
      <c r="E90" s="155" t="s">
        <v>1431</v>
      </c>
      <c r="F90" s="157" t="str">
        <f>IFERROR(VLOOKUP(D90,'Riassunto Rose'!$B$2:$D$251,3,FALSE),"")</f>
        <v/>
      </c>
      <c r="G90" s="157" t="str">
        <f>IFERROR(VLOOKUP(D90,'Riassunto Rose'!$B$2:$C$251,2,FALSE),"")</f>
        <v/>
      </c>
      <c r="H90" s="152" t="str">
        <f>IFERROR(VLOOKUP(D90,Lista!$D$1:$F$1998,3,FALSE),"")</f>
        <v/>
      </c>
      <c r="I90" s="157">
        <f t="shared" si="1"/>
        <v>0</v>
      </c>
    </row>
    <row r="91">
      <c r="C91" s="155"/>
      <c r="D91" s="175"/>
      <c r="E91" s="155" t="s">
        <v>1431</v>
      </c>
      <c r="F91" s="157" t="str">
        <f>IFERROR(VLOOKUP(D91,'Riassunto Rose'!$B$2:$D$251,3,FALSE),"")</f>
        <v/>
      </c>
      <c r="G91" s="157" t="str">
        <f>IFERROR(VLOOKUP(D91,'Riassunto Rose'!$B$2:$C$251,2,FALSE),"")</f>
        <v/>
      </c>
      <c r="H91" s="152" t="str">
        <f>IFERROR(VLOOKUP(D91,Lista!$D$1:$F$1998,3,FALSE),"")</f>
        <v/>
      </c>
      <c r="I91" s="157">
        <f t="shared" si="1"/>
        <v>0</v>
      </c>
    </row>
    <row r="92">
      <c r="C92" s="155"/>
      <c r="D92" s="175"/>
      <c r="E92" s="155" t="s">
        <v>1431</v>
      </c>
      <c r="F92" s="157" t="str">
        <f>IFERROR(VLOOKUP(D92,'Riassunto Rose'!$B$2:$D$251,3,FALSE),"")</f>
        <v/>
      </c>
      <c r="G92" s="157" t="str">
        <f>IFERROR(VLOOKUP(D92,'Riassunto Rose'!$B$2:$C$251,2,FALSE),"")</f>
        <v/>
      </c>
      <c r="H92" s="152" t="str">
        <f>IFERROR(VLOOKUP(D92,Lista!$D$1:$F$1998,3,FALSE),"")</f>
        <v/>
      </c>
      <c r="I92" s="157">
        <f t="shared" si="1"/>
        <v>0</v>
      </c>
    </row>
    <row r="93">
      <c r="C93" s="155"/>
      <c r="D93" s="175"/>
      <c r="E93" s="155" t="s">
        <v>1431</v>
      </c>
      <c r="F93" s="157" t="str">
        <f>IFERROR(VLOOKUP(D93,'Riassunto Rose'!$B$2:$D$251,3,FALSE),"")</f>
        <v/>
      </c>
      <c r="G93" s="157" t="str">
        <f>IFERROR(VLOOKUP(D93,'Riassunto Rose'!$B$2:$C$251,2,FALSE),"")</f>
        <v/>
      </c>
      <c r="H93" s="152" t="str">
        <f>IFERROR(VLOOKUP(D93,Lista!$D$1:$F$1998,3,FALSE),"")</f>
        <v/>
      </c>
      <c r="I93" s="157">
        <f t="shared" si="1"/>
        <v>0</v>
      </c>
    </row>
    <row r="94">
      <c r="C94" s="155"/>
      <c r="D94" s="175"/>
      <c r="E94" s="155" t="s">
        <v>1431</v>
      </c>
      <c r="F94" s="157" t="str">
        <f>IFERROR(VLOOKUP(D94,'Riassunto Rose'!$B$2:$D$251,3,FALSE),"")</f>
        <v/>
      </c>
      <c r="G94" s="157" t="str">
        <f>IFERROR(VLOOKUP(D94,'Riassunto Rose'!$B$2:$C$251,2,FALSE),"")</f>
        <v/>
      </c>
      <c r="H94" s="152" t="str">
        <f>IFERROR(VLOOKUP(D94,Lista!$D$1:$F$1998,3,FALSE),"")</f>
        <v/>
      </c>
      <c r="I94" s="157">
        <f t="shared" si="1"/>
        <v>0</v>
      </c>
    </row>
    <row r="95">
      <c r="C95" s="155"/>
      <c r="D95" s="175"/>
      <c r="E95" s="155" t="s">
        <v>1431</v>
      </c>
      <c r="F95" s="157" t="str">
        <f>IFERROR(VLOOKUP(D95,'Riassunto Rose'!$B$2:$D$251,3,FALSE),"")</f>
        <v/>
      </c>
      <c r="G95" s="157" t="str">
        <f>IFERROR(VLOOKUP(D95,'Riassunto Rose'!$B$2:$C$251,2,FALSE),"")</f>
        <v/>
      </c>
      <c r="H95" s="152" t="str">
        <f>IFERROR(VLOOKUP(D95,Lista!$D$1:$F$1998,3,FALSE),"")</f>
        <v/>
      </c>
      <c r="I95" s="157">
        <f t="shared" si="1"/>
        <v>0</v>
      </c>
    </row>
    <row r="96">
      <c r="C96" s="155"/>
      <c r="D96" s="175"/>
      <c r="E96" s="155" t="s">
        <v>1431</v>
      </c>
      <c r="F96" s="157" t="str">
        <f>IFERROR(VLOOKUP(D96,'Riassunto Rose'!$B$2:$D$251,3,FALSE),"")</f>
        <v/>
      </c>
      <c r="G96" s="157" t="str">
        <f>IFERROR(VLOOKUP(D96,'Riassunto Rose'!$B$2:$C$251,2,FALSE),"")</f>
        <v/>
      </c>
      <c r="H96" s="152" t="str">
        <f>IFERROR(VLOOKUP(D96,Lista!$D$1:$F$1998,3,FALSE),"")</f>
        <v/>
      </c>
      <c r="I96" s="157">
        <f t="shared" si="1"/>
        <v>0</v>
      </c>
    </row>
    <row r="97">
      <c r="C97" s="155"/>
      <c r="D97" s="175"/>
      <c r="E97" s="155" t="s">
        <v>1431</v>
      </c>
      <c r="F97" s="157" t="str">
        <f>IFERROR(VLOOKUP(D97,'Riassunto Rose'!$B$2:$D$251,3,FALSE),"")</f>
        <v/>
      </c>
      <c r="G97" s="157" t="str">
        <f>IFERROR(VLOOKUP(D97,'Riassunto Rose'!$B$2:$C$251,2,FALSE),"")</f>
        <v/>
      </c>
      <c r="H97" s="152" t="str">
        <f>IFERROR(VLOOKUP(D97,Lista!$D$1:$F$1998,3,FALSE),"")</f>
        <v/>
      </c>
      <c r="I97" s="157">
        <f t="shared" si="1"/>
        <v>0</v>
      </c>
    </row>
    <row r="98">
      <c r="C98" s="155"/>
      <c r="D98" s="175"/>
      <c r="E98" s="155" t="s">
        <v>1431</v>
      </c>
      <c r="F98" s="157" t="str">
        <f>IFERROR(VLOOKUP(D98,'Riassunto Rose'!$B$2:$D$251,3,FALSE),"")</f>
        <v/>
      </c>
      <c r="G98" s="157" t="str">
        <f>IFERROR(VLOOKUP(D98,'Riassunto Rose'!$B$2:$C$251,2,FALSE),"")</f>
        <v/>
      </c>
      <c r="H98" s="152" t="str">
        <f>IFERROR(VLOOKUP(D98,Lista!$D$1:$F$1998,3,FALSE),"")</f>
        <v/>
      </c>
      <c r="I98" s="157">
        <f t="shared" si="1"/>
        <v>0</v>
      </c>
    </row>
    <row r="99">
      <c r="C99" s="155"/>
      <c r="D99" s="175"/>
      <c r="E99" s="155" t="s">
        <v>1431</v>
      </c>
      <c r="F99" s="157" t="str">
        <f>IFERROR(VLOOKUP(D99,'Riassunto Rose'!$B$2:$D$251,3,FALSE),"")</f>
        <v/>
      </c>
      <c r="G99" s="157" t="str">
        <f>IFERROR(VLOOKUP(D99,'Riassunto Rose'!$B$2:$C$251,2,FALSE),"")</f>
        <v/>
      </c>
      <c r="H99" s="152" t="str">
        <f>IFERROR(VLOOKUP(D99,Lista!$D$1:$F$1998,3,FALSE),"")</f>
        <v/>
      </c>
      <c r="I99" s="157">
        <f t="shared" si="1"/>
        <v>0</v>
      </c>
    </row>
    <row r="100">
      <c r="C100" s="155"/>
      <c r="D100" s="175"/>
      <c r="E100" s="155" t="s">
        <v>1431</v>
      </c>
      <c r="F100" s="157" t="str">
        <f>IFERROR(VLOOKUP(D100,'Riassunto Rose'!$B$2:$D$251,3,FALSE),"")</f>
        <v/>
      </c>
      <c r="G100" s="157" t="str">
        <f>IFERROR(VLOOKUP(D100,'Riassunto Rose'!$B$2:$C$251,2,FALSE),"")</f>
        <v/>
      </c>
      <c r="H100" s="152" t="str">
        <f>IFERROR(VLOOKUP(D100,Lista!$D$1:$F$1998,3,FALSE),"")</f>
        <v/>
      </c>
      <c r="I100" s="157">
        <f t="shared" si="1"/>
        <v>0</v>
      </c>
    </row>
    <row r="101">
      <c r="C101" s="155"/>
      <c r="D101" s="175"/>
      <c r="E101" s="155" t="s">
        <v>1431</v>
      </c>
      <c r="F101" s="157" t="str">
        <f>IFERROR(VLOOKUP(D101,'Riassunto Rose'!$B$2:$D$251,3,FALSE),"")</f>
        <v/>
      </c>
      <c r="G101" s="157" t="str">
        <f>IFERROR(VLOOKUP(D101,'Riassunto Rose'!$B$2:$C$251,2,FALSE),"")</f>
        <v/>
      </c>
      <c r="H101" s="152" t="str">
        <f>IFERROR(VLOOKUP(D101,Lista!$D$1:$F$1998,3,FALSE),"")</f>
        <v/>
      </c>
      <c r="I101" s="157">
        <f t="shared" si="1"/>
        <v>0</v>
      </c>
    </row>
    <row r="102">
      <c r="C102" s="155"/>
      <c r="D102" s="175"/>
      <c r="E102" s="155" t="s">
        <v>1431</v>
      </c>
      <c r="F102" s="157" t="str">
        <f>IFERROR(VLOOKUP(D102,'Riassunto Rose'!$B$2:$D$251,3,FALSE),"")</f>
        <v/>
      </c>
      <c r="G102" s="157" t="str">
        <f>IFERROR(VLOOKUP(D102,'Riassunto Rose'!$B$2:$C$251,2,FALSE),"")</f>
        <v/>
      </c>
      <c r="H102" s="152" t="str">
        <f>IFERROR(VLOOKUP(D102,Lista!$D$1:$F$1998,3,FALSE),"")</f>
        <v/>
      </c>
      <c r="I102" s="157">
        <f t="shared" si="1"/>
        <v>0</v>
      </c>
    </row>
    <row r="103">
      <c r="C103" s="155"/>
      <c r="D103" s="175"/>
      <c r="E103" s="155" t="s">
        <v>1431</v>
      </c>
      <c r="F103" s="157" t="str">
        <f>IFERROR(VLOOKUP(D103,'Riassunto Rose'!$B$2:$D$251,3,FALSE),"")</f>
        <v/>
      </c>
      <c r="G103" s="157" t="str">
        <f>IFERROR(VLOOKUP(D103,'Riassunto Rose'!$B$2:$C$251,2,FALSE),"")</f>
        <v/>
      </c>
      <c r="H103" s="152" t="str">
        <f>IFERROR(VLOOKUP(D103,Lista!$D$1:$F$1998,3,FALSE),"")</f>
        <v/>
      </c>
      <c r="I103" s="157">
        <f t="shared" si="1"/>
        <v>0</v>
      </c>
    </row>
    <row r="104">
      <c r="C104" s="155"/>
      <c r="D104" s="175"/>
      <c r="E104" s="155" t="s">
        <v>1431</v>
      </c>
      <c r="F104" s="157" t="str">
        <f>IFERROR(VLOOKUP(D104,'Riassunto Rose'!$B$2:$D$251,3,FALSE),"")</f>
        <v/>
      </c>
      <c r="G104" s="157" t="str">
        <f>IFERROR(VLOOKUP(D104,'Riassunto Rose'!$B$2:$C$251,2,FALSE),"")</f>
        <v/>
      </c>
      <c r="H104" s="152" t="str">
        <f>IFERROR(VLOOKUP(D104,Lista!$D$1:$F$1998,3,FALSE),"")</f>
        <v/>
      </c>
      <c r="I104" s="157">
        <f t="shared" si="1"/>
        <v>0</v>
      </c>
    </row>
    <row r="105">
      <c r="C105" s="155"/>
      <c r="D105" s="175"/>
      <c r="E105" s="155" t="s">
        <v>1431</v>
      </c>
      <c r="F105" s="157" t="str">
        <f>IFERROR(VLOOKUP(D105,'Riassunto Rose'!$B$2:$D$251,3,FALSE),"")</f>
        <v/>
      </c>
      <c r="G105" s="157" t="str">
        <f>IFERROR(VLOOKUP(D105,'Riassunto Rose'!$B$2:$C$251,2,FALSE),"")</f>
        <v/>
      </c>
      <c r="H105" s="152" t="str">
        <f>IFERROR(VLOOKUP(D105,Lista!$D$1:$F$1998,3,FALSE),"")</f>
        <v/>
      </c>
      <c r="I105" s="157">
        <f t="shared" si="1"/>
        <v>0</v>
      </c>
    </row>
    <row r="106">
      <c r="C106" s="155"/>
      <c r="D106" s="175"/>
      <c r="E106" s="155" t="s">
        <v>1431</v>
      </c>
      <c r="F106" s="157" t="str">
        <f>IFERROR(VLOOKUP(D106,'Riassunto Rose'!$B$2:$D$251,3,FALSE),"")</f>
        <v/>
      </c>
      <c r="G106" s="157" t="str">
        <f>IFERROR(VLOOKUP(D106,'Riassunto Rose'!$B$2:$C$251,2,FALSE),"")</f>
        <v/>
      </c>
      <c r="H106" s="152" t="str">
        <f>IFERROR(VLOOKUP(D106,Lista!$D$1:$F$1998,3,FALSE),"")</f>
        <v/>
      </c>
      <c r="I106" s="157">
        <f t="shared" si="1"/>
        <v>0</v>
      </c>
    </row>
    <row r="107">
      <c r="C107" s="155"/>
      <c r="D107" s="175"/>
      <c r="E107" s="155" t="s">
        <v>1431</v>
      </c>
      <c r="F107" s="157" t="str">
        <f>IFERROR(VLOOKUP(D107,'Riassunto Rose'!$B$2:$D$251,3,FALSE),"")</f>
        <v/>
      </c>
      <c r="G107" s="157" t="str">
        <f>IFERROR(VLOOKUP(D107,'Riassunto Rose'!$B$2:$C$251,2,FALSE),"")</f>
        <v/>
      </c>
      <c r="H107" s="152" t="str">
        <f>IFERROR(VLOOKUP(D107,Lista!$D$1:$F$1998,3,FALSE),"")</f>
        <v/>
      </c>
      <c r="I107" s="157">
        <f t="shared" si="1"/>
        <v>0</v>
      </c>
    </row>
    <row r="108">
      <c r="C108" s="155"/>
      <c r="D108" s="175"/>
      <c r="E108" s="155" t="s">
        <v>1431</v>
      </c>
      <c r="F108" s="157" t="str">
        <f>IFERROR(VLOOKUP(D108,'Riassunto Rose'!$B$2:$D$251,3,FALSE),"")</f>
        <v/>
      </c>
      <c r="G108" s="157" t="str">
        <f>IFERROR(VLOOKUP(D108,'Riassunto Rose'!$B$2:$C$251,2,FALSE),"")</f>
        <v/>
      </c>
      <c r="H108" s="152" t="str">
        <f>IFERROR(VLOOKUP(D108,Lista!$D$1:$F$1998,3,FALSE),"")</f>
        <v/>
      </c>
      <c r="I108" s="157">
        <f t="shared" si="1"/>
        <v>0</v>
      </c>
    </row>
    <row r="109">
      <c r="C109" s="155"/>
      <c r="D109" s="175"/>
      <c r="E109" s="155" t="s">
        <v>1431</v>
      </c>
      <c r="F109" s="157" t="str">
        <f>IFERROR(VLOOKUP(D109,'Riassunto Rose'!$B$2:$D$251,3,FALSE),"")</f>
        <v/>
      </c>
      <c r="G109" s="157" t="str">
        <f>IFERROR(VLOOKUP(D109,'Riassunto Rose'!$B$2:$C$251,2,FALSE),"")</f>
        <v/>
      </c>
      <c r="H109" s="152" t="str">
        <f>IFERROR(VLOOKUP(D109,Lista!$D$1:$F$1998,3,FALSE),"")</f>
        <v/>
      </c>
      <c r="I109" s="157">
        <f t="shared" si="1"/>
        <v>0</v>
      </c>
    </row>
    <row r="110">
      <c r="C110" s="155"/>
      <c r="D110" s="175"/>
      <c r="E110" s="155" t="s">
        <v>1431</v>
      </c>
      <c r="F110" s="157" t="str">
        <f>IFERROR(VLOOKUP(D110,'Riassunto Rose'!$B$2:$D$251,3,FALSE),"")</f>
        <v/>
      </c>
      <c r="G110" s="157" t="str">
        <f>IFERROR(VLOOKUP(D110,'Riassunto Rose'!$B$2:$C$251,2,FALSE),"")</f>
        <v/>
      </c>
      <c r="H110" s="152" t="str">
        <f>IFERROR(VLOOKUP(D110,Lista!$D$1:$F$1998,3,FALSE),"")</f>
        <v/>
      </c>
      <c r="I110" s="157">
        <f t="shared" si="1"/>
        <v>0</v>
      </c>
    </row>
    <row r="111">
      <c r="C111" s="155"/>
      <c r="D111" s="175"/>
      <c r="E111" s="155" t="s">
        <v>1431</v>
      </c>
      <c r="F111" s="157" t="str">
        <f>IFERROR(VLOOKUP(D111,'Riassunto Rose'!$B$2:$D$251,3,FALSE),"")</f>
        <v/>
      </c>
      <c r="G111" s="157" t="str">
        <f>IFERROR(VLOOKUP(D111,'Riassunto Rose'!$B$2:$C$251,2,FALSE),"")</f>
        <v/>
      </c>
      <c r="H111" s="152" t="str">
        <f>IFERROR(VLOOKUP(D111,Lista!$D$1:$F$1998,3,FALSE),"")</f>
        <v/>
      </c>
      <c r="I111" s="157">
        <f t="shared" si="1"/>
        <v>0</v>
      </c>
    </row>
    <row r="112">
      <c r="C112" s="155"/>
      <c r="D112" s="175"/>
      <c r="E112" s="155" t="s">
        <v>1431</v>
      </c>
      <c r="F112" s="157" t="str">
        <f>IFERROR(VLOOKUP(D112,'Riassunto Rose'!$B$2:$D$251,3,FALSE),"")</f>
        <v/>
      </c>
      <c r="G112" s="157" t="str">
        <f>IFERROR(VLOOKUP(D112,'Riassunto Rose'!$B$2:$C$251,2,FALSE),"")</f>
        <v/>
      </c>
      <c r="H112" s="152" t="str">
        <f>IFERROR(VLOOKUP(D112,Lista!$D$1:$F$1998,3,FALSE),"")</f>
        <v/>
      </c>
      <c r="I112" s="157">
        <f t="shared" si="1"/>
        <v>0</v>
      </c>
    </row>
    <row r="113">
      <c r="C113" s="155"/>
      <c r="D113" s="175"/>
      <c r="E113" s="155" t="s">
        <v>1431</v>
      </c>
      <c r="F113" s="157" t="str">
        <f>IFERROR(VLOOKUP(D113,'Riassunto Rose'!$B$2:$D$251,3,FALSE),"")</f>
        <v/>
      </c>
      <c r="G113" s="157" t="str">
        <f>IFERROR(VLOOKUP(D113,'Riassunto Rose'!$B$2:$C$251,2,FALSE),"")</f>
        <v/>
      </c>
      <c r="H113" s="152" t="str">
        <f>IFERROR(VLOOKUP(D113,Lista!$D$1:$F$1998,3,FALSE),"")</f>
        <v/>
      </c>
      <c r="I113" s="157">
        <f t="shared" si="1"/>
        <v>0</v>
      </c>
    </row>
    <row r="114">
      <c r="C114" s="155"/>
      <c r="D114" s="175"/>
      <c r="E114" s="155" t="s">
        <v>1431</v>
      </c>
      <c r="F114" s="157" t="str">
        <f>IFERROR(VLOOKUP(D114,'Riassunto Rose'!$B$2:$D$251,3,FALSE),"")</f>
        <v/>
      </c>
      <c r="G114" s="157" t="str">
        <f>IFERROR(VLOOKUP(D114,'Riassunto Rose'!$B$2:$C$251,2,FALSE),"")</f>
        <v/>
      </c>
      <c r="H114" s="152" t="str">
        <f>IFERROR(VLOOKUP(D114,Lista!$D$1:$F$1998,3,FALSE),"")</f>
        <v/>
      </c>
      <c r="I114" s="157">
        <f t="shared" si="1"/>
        <v>0</v>
      </c>
    </row>
    <row r="115">
      <c r="C115" s="155"/>
      <c r="D115" s="175"/>
      <c r="E115" s="155" t="s">
        <v>1431</v>
      </c>
      <c r="F115" s="157" t="str">
        <f>IFERROR(VLOOKUP(D115,'Riassunto Rose'!$B$2:$D$251,3,FALSE),"")</f>
        <v/>
      </c>
      <c r="G115" s="157" t="str">
        <f>IFERROR(VLOOKUP(D115,'Riassunto Rose'!$B$2:$C$251,2,FALSE),"")</f>
        <v/>
      </c>
      <c r="H115" s="152" t="str">
        <f>IFERROR(VLOOKUP(D115,Lista!$D$1:$F$1998,3,FALSE),"")</f>
        <v/>
      </c>
      <c r="I115" s="157">
        <f t="shared" si="1"/>
        <v>0</v>
      </c>
    </row>
    <row r="116">
      <c r="C116" s="155"/>
      <c r="D116" s="175"/>
      <c r="E116" s="155" t="s">
        <v>1431</v>
      </c>
      <c r="F116" s="157" t="str">
        <f>IFERROR(VLOOKUP(D116,'Riassunto Rose'!$B$2:$D$251,3,FALSE),"")</f>
        <v/>
      </c>
      <c r="G116" s="157" t="str">
        <f>IFERROR(VLOOKUP(D116,'Riassunto Rose'!$B$2:$C$251,2,FALSE),"")</f>
        <v/>
      </c>
      <c r="H116" s="152" t="str">
        <f>IFERROR(VLOOKUP(D116,Lista!$D$1:$F$1998,3,FALSE),"")</f>
        <v/>
      </c>
      <c r="I116" s="157">
        <f t="shared" si="1"/>
        <v>0</v>
      </c>
    </row>
    <row r="117">
      <c r="C117" s="155"/>
      <c r="D117" s="175"/>
      <c r="E117" s="155" t="s">
        <v>1431</v>
      </c>
      <c r="F117" s="157" t="str">
        <f>IFERROR(VLOOKUP(D117,'Riassunto Rose'!$B$2:$D$251,3,FALSE),"")</f>
        <v/>
      </c>
      <c r="G117" s="157" t="str">
        <f>IFERROR(VLOOKUP(D117,'Riassunto Rose'!$B$2:$C$251,2,FALSE),"")</f>
        <v/>
      </c>
      <c r="H117" s="152" t="str">
        <f>IFERROR(VLOOKUP(D117,Lista!$D$1:$F$1998,3,FALSE),"")</f>
        <v/>
      </c>
      <c r="I117" s="157">
        <f t="shared" si="1"/>
        <v>0</v>
      </c>
    </row>
    <row r="118">
      <c r="C118" s="155"/>
      <c r="D118" s="175"/>
      <c r="E118" s="155" t="s">
        <v>1431</v>
      </c>
      <c r="F118" s="157" t="str">
        <f>IFERROR(VLOOKUP(D118,'Riassunto Rose'!$B$2:$D$251,3,FALSE),"")</f>
        <v/>
      </c>
      <c r="G118" s="157" t="str">
        <f>IFERROR(VLOOKUP(D118,'Riassunto Rose'!$B$2:$C$251,2,FALSE),"")</f>
        <v/>
      </c>
      <c r="H118" s="152" t="str">
        <f>IFERROR(VLOOKUP(D118,Lista!$D$1:$F$1998,3,FALSE),"")</f>
        <v/>
      </c>
      <c r="I118" s="157">
        <f t="shared" si="1"/>
        <v>0</v>
      </c>
    </row>
    <row r="119">
      <c r="C119" s="155"/>
      <c r="D119" s="175"/>
      <c r="E119" s="155" t="s">
        <v>1431</v>
      </c>
      <c r="F119" s="157" t="str">
        <f>IFERROR(VLOOKUP(D119,'Riassunto Rose'!$B$2:$D$251,3,FALSE),"")</f>
        <v/>
      </c>
      <c r="G119" s="157" t="str">
        <f>IFERROR(VLOOKUP(D119,'Riassunto Rose'!$B$2:$C$251,2,FALSE),"")</f>
        <v/>
      </c>
      <c r="H119" s="152" t="str">
        <f>IFERROR(VLOOKUP(D119,Lista!$D$1:$F$1998,3,FALSE),"")</f>
        <v/>
      </c>
      <c r="I119" s="157">
        <f t="shared" si="1"/>
        <v>0</v>
      </c>
    </row>
    <row r="120">
      <c r="C120" s="176"/>
      <c r="D120" s="176"/>
      <c r="E120" s="163" t="s">
        <v>1431</v>
      </c>
      <c r="F120" s="157" t="str">
        <f>IFERROR(VLOOKUP(D120,'Riassunto Rose'!$B$2:$D$251,3,FALSE),"")</f>
        <v/>
      </c>
      <c r="G120" s="157" t="str">
        <f>IFERROR(VLOOKUP(D120,'Riassunto Rose'!$B$2:$C$251,2,FALSE),"")</f>
        <v/>
      </c>
      <c r="H120" s="152" t="str">
        <f>IFERROR(VLOOKUP(D120,Lista!$D$1:$F$1998,3,FALSE),"")</f>
        <v/>
      </c>
      <c r="I120" s="157">
        <f t="shared" si="1"/>
        <v>0</v>
      </c>
    </row>
  </sheetData>
  <autoFilter ref="$C$4:$I$120">
    <sortState ref="C4:I120">
      <sortCondition ref="C4:C120"/>
    </sortState>
  </autoFilter>
  <mergeCells count="17">
    <mergeCell ref="C1:I2"/>
    <mergeCell ref="K2:N2"/>
    <mergeCell ref="K4:S4"/>
    <mergeCell ref="K5:S5"/>
    <mergeCell ref="K6:S6"/>
    <mergeCell ref="K7:S7"/>
    <mergeCell ref="K8:S8"/>
    <mergeCell ref="K25:O25"/>
    <mergeCell ref="K26:O26"/>
    <mergeCell ref="K27:P27"/>
    <mergeCell ref="K9:S9"/>
    <mergeCell ref="K10:S10"/>
    <mergeCell ref="K14:O14"/>
    <mergeCell ref="K15:O15"/>
    <mergeCell ref="K16:O16"/>
    <mergeCell ref="K20:R20"/>
    <mergeCell ref="K21:R21"/>
  </mergeCells>
  <dataValidations>
    <dataValidation type="list" allowBlank="1" showErrorMessage="1" sqref="E5:E120">
      <formula1>"Si,No"</formula1>
    </dataValidation>
    <dataValidation type="list" allowBlank="1" sqref="D5:D120">
      <formula1>'Riassunto Rose'!$B$2:$B$251</formula1>
    </dataValidation>
    <dataValidation type="list" allowBlank="1" sqref="C5:C120">
      <formula1>'LISTA SVINCOLATI'!$A$5:$A$14</formula1>
    </dataValidation>
  </dataValidations>
  <hyperlinks>
    <hyperlink r:id="rId1" ref="K15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5.29"/>
    <col customWidth="1" min="4" max="4" width="19.86"/>
    <col customWidth="1" min="5" max="6" width="22.43"/>
    <col customWidth="1" min="7" max="7" width="35.57"/>
    <col customWidth="1" min="8" max="8" width="29.86"/>
    <col customWidth="1" min="20" max="20" width="24.86"/>
    <col customWidth="1" min="27" max="27" width="24.86"/>
  </cols>
  <sheetData>
    <row r="2">
      <c r="B2" s="177" t="s">
        <v>1448</v>
      </c>
    </row>
    <row r="3" ht="19.5" customHeight="1">
      <c r="J3" s="178" t="s">
        <v>1449</v>
      </c>
      <c r="Q3" s="178" t="s">
        <v>1450</v>
      </c>
      <c r="X3" s="178" t="s">
        <v>1451</v>
      </c>
    </row>
    <row r="4">
      <c r="C4" s="179" t="s">
        <v>1423</v>
      </c>
      <c r="D4" s="179" t="s">
        <v>1423</v>
      </c>
      <c r="E4" s="179"/>
      <c r="F4" s="179" t="s">
        <v>1423</v>
      </c>
      <c r="G4" s="179" t="s">
        <v>1423</v>
      </c>
      <c r="H4" s="179" t="s">
        <v>1423</v>
      </c>
      <c r="K4" s="179" t="s">
        <v>1423</v>
      </c>
      <c r="L4" s="179" t="s">
        <v>1423</v>
      </c>
      <c r="M4" s="179" t="s">
        <v>1423</v>
      </c>
      <c r="N4" s="179" t="s">
        <v>1423</v>
      </c>
      <c r="O4" s="179" t="s">
        <v>1423</v>
      </c>
      <c r="R4" s="179" t="s">
        <v>1423</v>
      </c>
      <c r="S4" s="179" t="s">
        <v>1423</v>
      </c>
      <c r="T4" s="179" t="s">
        <v>1423</v>
      </c>
      <c r="U4" s="179" t="s">
        <v>1423</v>
      </c>
      <c r="V4" s="179" t="s">
        <v>1423</v>
      </c>
      <c r="Y4" s="179" t="s">
        <v>1423</v>
      </c>
      <c r="Z4" s="179" t="s">
        <v>1423</v>
      </c>
      <c r="AA4" s="179" t="s">
        <v>1423</v>
      </c>
      <c r="AB4" s="179" t="s">
        <v>1423</v>
      </c>
      <c r="AC4" s="179" t="s">
        <v>1423</v>
      </c>
    </row>
    <row r="5">
      <c r="B5" s="180" t="s">
        <v>1120</v>
      </c>
      <c r="C5" s="180" t="s">
        <v>1452</v>
      </c>
      <c r="D5" s="180" t="s">
        <v>1453</v>
      </c>
      <c r="E5" s="180"/>
      <c r="F5" s="180" t="s">
        <v>1454</v>
      </c>
      <c r="G5" s="180" t="s">
        <v>1455</v>
      </c>
      <c r="H5" s="181" t="s">
        <v>1456</v>
      </c>
      <c r="J5" s="180" t="s">
        <v>1120</v>
      </c>
      <c r="K5" s="180" t="s">
        <v>1125</v>
      </c>
      <c r="L5" s="180" t="s">
        <v>1126</v>
      </c>
      <c r="M5" s="180" t="s">
        <v>1127</v>
      </c>
      <c r="N5" s="180" t="s">
        <v>1128</v>
      </c>
      <c r="O5" s="180" t="s">
        <v>22</v>
      </c>
      <c r="Q5" s="180" t="s">
        <v>1120</v>
      </c>
      <c r="R5" s="180" t="s">
        <v>1125</v>
      </c>
      <c r="S5" s="180" t="s">
        <v>1126</v>
      </c>
      <c r="T5" s="180" t="s">
        <v>1127</v>
      </c>
      <c r="U5" s="180" t="s">
        <v>1128</v>
      </c>
      <c r="V5" s="180" t="s">
        <v>22</v>
      </c>
      <c r="X5" s="180" t="s">
        <v>1120</v>
      </c>
      <c r="Y5" s="180" t="s">
        <v>1125</v>
      </c>
      <c r="Z5" s="180" t="s">
        <v>1126</v>
      </c>
      <c r="AA5" s="180" t="s">
        <v>1127</v>
      </c>
      <c r="AB5" s="180" t="s">
        <v>1128</v>
      </c>
      <c r="AC5" s="180" t="s">
        <v>22</v>
      </c>
    </row>
    <row r="6">
      <c r="B6" s="149" t="str">
        <f>'LISTA SVINCOLATI'!$A$5</f>
        <v>Taffo</v>
      </c>
      <c r="C6" s="149">
        <f t="shared" ref="C6:C15" si="3">O6</f>
        <v>7</v>
      </c>
      <c r="D6" s="149">
        <f>sumif('LISTA SVINCOLATI'!C$5:C$120,B6,'LISTA SVINCOLATI'!I$5:I$120)</f>
        <v>27</v>
      </c>
      <c r="E6" s="149"/>
      <c r="F6" s="149">
        <f>'ROSE 2026'!E32</f>
        <v>2</v>
      </c>
      <c r="G6" s="149">
        <v>100.0</v>
      </c>
      <c r="H6" s="182">
        <f t="shared" ref="H6:H15" si="4">D6+F6+G6</f>
        <v>129</v>
      </c>
      <c r="J6" s="149" t="str">
        <f>'LISTA SVINCOLATI'!$A$5</f>
        <v>Taffo</v>
      </c>
      <c r="K6" s="182">
        <f>COUNTIFS('LISTA SVINCOLATI'!$C$4:$C$120,$J6,'LISTA SVINCOLATI'!$F$4:$F$120,K$5)</f>
        <v>0</v>
      </c>
      <c r="L6" s="182">
        <f>COUNTIFS('LISTA SVINCOLATI'!$C$4:$C$120,$J6,'LISTA SVINCOLATI'!$F$4:$F$120,L$5)</f>
        <v>1</v>
      </c>
      <c r="M6" s="182">
        <f>COUNTIFS('LISTA SVINCOLATI'!$C$4:$C$120,$J6,'LISTA SVINCOLATI'!$F$4:$F$120,M$5)</f>
        <v>3</v>
      </c>
      <c r="N6" s="182">
        <f>COUNTIFS('LISTA SVINCOLATI'!$C$4:$C$120,$J6,'LISTA SVINCOLATI'!$F$4:$F$120,N$5)</f>
        <v>3</v>
      </c>
      <c r="O6" s="182">
        <f t="shared" ref="O6:O15" si="5">SUM(K6:N6)</f>
        <v>7</v>
      </c>
      <c r="Q6" s="149" t="str">
        <f>'LISTA SVINCOLATI'!$A$5</f>
        <v>Taffo</v>
      </c>
      <c r="R6" s="183">
        <f t="shared" ref="R6:U6" si="1">COUNTIF($C20:$Z20,R$5)</f>
        <v>0</v>
      </c>
      <c r="S6" s="183">
        <f t="shared" si="1"/>
        <v>0</v>
      </c>
      <c r="T6" s="183">
        <f t="shared" si="1"/>
        <v>0</v>
      </c>
      <c r="U6" s="183">
        <f t="shared" si="1"/>
        <v>0</v>
      </c>
      <c r="V6" s="184">
        <f t="shared" ref="V6:V15" si="7">SUM(R6:U6)</f>
        <v>0</v>
      </c>
      <c r="X6" s="149" t="str">
        <f>'LISTA SVINCOLATI'!$A$5</f>
        <v>Taffo</v>
      </c>
      <c r="Y6" s="185">
        <f t="shared" ref="Y6:AB6" si="2">K6-R6</f>
        <v>0</v>
      </c>
      <c r="Z6" s="185">
        <f t="shared" si="2"/>
        <v>1</v>
      </c>
      <c r="AA6" s="185">
        <f t="shared" si="2"/>
        <v>3</v>
      </c>
      <c r="AB6" s="185">
        <f t="shared" si="2"/>
        <v>3</v>
      </c>
      <c r="AC6" s="185">
        <f t="shared" ref="AC6:AC15" si="9">SUM(Y6:AB6)</f>
        <v>7</v>
      </c>
    </row>
    <row r="7">
      <c r="B7" s="155" t="str">
        <f>'LISTA SVINCOLATI'!$A$6</f>
        <v>Fore</v>
      </c>
      <c r="C7" s="155">
        <f t="shared" si="3"/>
        <v>3</v>
      </c>
      <c r="D7" s="155">
        <f>sumif('LISTA SVINCOLATI'!C$5:C$120,B7,'LISTA SVINCOLATI'!I$5:I$120)</f>
        <v>20</v>
      </c>
      <c r="E7" s="155"/>
      <c r="F7" s="155">
        <f>'ROSE 2026'!I32</f>
        <v>3</v>
      </c>
      <c r="G7" s="155">
        <v>100.0</v>
      </c>
      <c r="H7" s="186">
        <f t="shared" si="4"/>
        <v>123</v>
      </c>
      <c r="J7" s="155" t="str">
        <f>'LISTA SVINCOLATI'!$A$6</f>
        <v>Fore</v>
      </c>
      <c r="K7" s="157">
        <f>COUNTIFS('LISTA SVINCOLATI'!$C$4:$C$120,$J7,'LISTA SVINCOLATI'!$F$4:$F$120,K$5)</f>
        <v>0</v>
      </c>
      <c r="L7" s="157">
        <f>COUNTIFS('LISTA SVINCOLATI'!$C$4:$C$120,$J7,'LISTA SVINCOLATI'!$F$4:$F$120,L$5)</f>
        <v>0</v>
      </c>
      <c r="M7" s="157">
        <f>COUNTIFS('LISTA SVINCOLATI'!$C$4:$C$120,$J7,'LISTA SVINCOLATI'!$F$4:$F$120,M$5)</f>
        <v>0</v>
      </c>
      <c r="N7" s="157">
        <f>COUNTIFS('LISTA SVINCOLATI'!$C$4:$C$120,$J7,'LISTA SVINCOLATI'!$F$4:$F$120,N$5)</f>
        <v>3</v>
      </c>
      <c r="O7" s="157">
        <f t="shared" si="5"/>
        <v>3</v>
      </c>
      <c r="Q7" s="155" t="str">
        <f>'LISTA SVINCOLATI'!$A$6</f>
        <v>Fore</v>
      </c>
      <c r="R7" s="187">
        <f t="shared" ref="R7:U7" si="6">COUNTIF($C21:$Z21,R$5)</f>
        <v>0</v>
      </c>
      <c r="S7" s="187">
        <f t="shared" si="6"/>
        <v>0</v>
      </c>
      <c r="T7" s="187">
        <f t="shared" si="6"/>
        <v>0</v>
      </c>
      <c r="U7" s="187">
        <f t="shared" si="6"/>
        <v>0</v>
      </c>
      <c r="V7" s="188">
        <f t="shared" si="7"/>
        <v>0</v>
      </c>
      <c r="X7" s="155" t="str">
        <f>'LISTA SVINCOLATI'!$A$6</f>
        <v>Fore</v>
      </c>
      <c r="Y7" s="156">
        <f t="shared" ref="Y7:AB7" si="8">K7-R7</f>
        <v>0</v>
      </c>
      <c r="Z7" s="156">
        <f t="shared" si="8"/>
        <v>0</v>
      </c>
      <c r="AA7" s="156">
        <f t="shared" si="8"/>
        <v>0</v>
      </c>
      <c r="AB7" s="156">
        <f t="shared" si="8"/>
        <v>3</v>
      </c>
      <c r="AC7" s="156">
        <f t="shared" si="9"/>
        <v>3</v>
      </c>
    </row>
    <row r="8">
      <c r="B8" s="155" t="str">
        <f>'LISTA SVINCOLATI'!$A$7</f>
        <v>Burney</v>
      </c>
      <c r="C8" s="155">
        <f t="shared" si="3"/>
        <v>6</v>
      </c>
      <c r="D8" s="155">
        <f>sumif('LISTA SVINCOLATI'!C$5:C$120,B8,'LISTA SVINCOLATI'!I$5:I$120)</f>
        <v>23</v>
      </c>
      <c r="E8" s="155"/>
      <c r="F8" s="155">
        <f>'ROSE 2026'!M32</f>
        <v>13</v>
      </c>
      <c r="G8" s="155">
        <v>100.0</v>
      </c>
      <c r="H8" s="186">
        <f t="shared" si="4"/>
        <v>136</v>
      </c>
      <c r="J8" s="155" t="str">
        <f>'LISTA SVINCOLATI'!$A$7</f>
        <v>Burney</v>
      </c>
      <c r="K8" s="157">
        <f>COUNTIFS('LISTA SVINCOLATI'!$C$4:$C$120,$J8,'LISTA SVINCOLATI'!$F$4:$F$120,K$5)</f>
        <v>2</v>
      </c>
      <c r="L8" s="157">
        <f>COUNTIFS('LISTA SVINCOLATI'!$C$4:$C$120,$J8,'LISTA SVINCOLATI'!$F$4:$F$120,L$5)</f>
        <v>1</v>
      </c>
      <c r="M8" s="157">
        <f>COUNTIFS('LISTA SVINCOLATI'!$C$4:$C$120,$J8,'LISTA SVINCOLATI'!$F$4:$F$120,M$5)</f>
        <v>2</v>
      </c>
      <c r="N8" s="157">
        <f>COUNTIFS('LISTA SVINCOLATI'!$C$4:$C$120,$J8,'LISTA SVINCOLATI'!$F$4:$F$120,N$5)</f>
        <v>1</v>
      </c>
      <c r="O8" s="157">
        <f t="shared" si="5"/>
        <v>6</v>
      </c>
      <c r="Q8" s="155" t="str">
        <f>'LISTA SVINCOLATI'!$A$7</f>
        <v>Burney</v>
      </c>
      <c r="R8" s="187">
        <f t="shared" ref="R8:U8" si="10">COUNTIF($C22:$Z22,R$5)</f>
        <v>0</v>
      </c>
      <c r="S8" s="187">
        <f t="shared" si="10"/>
        <v>0</v>
      </c>
      <c r="T8" s="187">
        <f t="shared" si="10"/>
        <v>0</v>
      </c>
      <c r="U8" s="187">
        <f t="shared" si="10"/>
        <v>0</v>
      </c>
      <c r="V8" s="188">
        <f t="shared" si="7"/>
        <v>0</v>
      </c>
      <c r="X8" s="155" t="str">
        <f>'LISTA SVINCOLATI'!$A$7</f>
        <v>Burney</v>
      </c>
      <c r="Y8" s="156">
        <f t="shared" ref="Y8:AB8" si="11">K8-R8</f>
        <v>2</v>
      </c>
      <c r="Z8" s="156">
        <f t="shared" si="11"/>
        <v>1</v>
      </c>
      <c r="AA8" s="156">
        <f t="shared" si="11"/>
        <v>2</v>
      </c>
      <c r="AB8" s="156">
        <f t="shared" si="11"/>
        <v>1</v>
      </c>
      <c r="AC8" s="156">
        <f t="shared" si="9"/>
        <v>6</v>
      </c>
    </row>
    <row r="9">
      <c r="B9" s="155" t="str">
        <f>'LISTA SVINCOLATI'!$A$8</f>
        <v>Alfio</v>
      </c>
      <c r="C9" s="155">
        <f t="shared" si="3"/>
        <v>5</v>
      </c>
      <c r="D9" s="155">
        <f>sumif('LISTA SVINCOLATI'!C$5:C$120,B9,'LISTA SVINCOLATI'!I$5:I$120)</f>
        <v>113</v>
      </c>
      <c r="E9" s="155"/>
      <c r="F9" s="155">
        <f>'ROSE 2026'!Q32</f>
        <v>10</v>
      </c>
      <c r="G9" s="155">
        <v>100.0</v>
      </c>
      <c r="H9" s="186">
        <f t="shared" si="4"/>
        <v>223</v>
      </c>
      <c r="J9" s="155" t="str">
        <f>'LISTA SVINCOLATI'!$A$8</f>
        <v>Alfio</v>
      </c>
      <c r="K9" s="157">
        <f>COUNTIFS('LISTA SVINCOLATI'!$C$4:$C$120,$J9,'LISTA SVINCOLATI'!$F$4:$F$120,K$5)</f>
        <v>1</v>
      </c>
      <c r="L9" s="157">
        <f>COUNTIFS('LISTA SVINCOLATI'!$C$4:$C$120,$J9,'LISTA SVINCOLATI'!$F$4:$F$120,L$5)</f>
        <v>1</v>
      </c>
      <c r="M9" s="157">
        <f>COUNTIFS('LISTA SVINCOLATI'!$C$4:$C$120,$J9,'LISTA SVINCOLATI'!$F$4:$F$120,M$5)</f>
        <v>1</v>
      </c>
      <c r="N9" s="157">
        <f>COUNTIFS('LISTA SVINCOLATI'!$C$4:$C$120,$J9,'LISTA SVINCOLATI'!$F$4:$F$120,N$5)</f>
        <v>2</v>
      </c>
      <c r="O9" s="157">
        <f t="shared" si="5"/>
        <v>5</v>
      </c>
      <c r="Q9" s="155" t="str">
        <f>'LISTA SVINCOLATI'!$A$8</f>
        <v>Alfio</v>
      </c>
      <c r="R9" s="187">
        <f t="shared" ref="R9:U9" si="12">COUNTIF($C23:$Z23,R$5)</f>
        <v>0</v>
      </c>
      <c r="S9" s="187">
        <f t="shared" si="12"/>
        <v>0</v>
      </c>
      <c r="T9" s="187">
        <f t="shared" si="12"/>
        <v>0</v>
      </c>
      <c r="U9" s="187">
        <f t="shared" si="12"/>
        <v>0</v>
      </c>
      <c r="V9" s="188">
        <f t="shared" si="7"/>
        <v>0</v>
      </c>
      <c r="X9" s="155" t="str">
        <f>'LISTA SVINCOLATI'!$A$8</f>
        <v>Alfio</v>
      </c>
      <c r="Y9" s="156">
        <f t="shared" ref="Y9:AB9" si="13">K9-R9</f>
        <v>1</v>
      </c>
      <c r="Z9" s="156">
        <f t="shared" si="13"/>
        <v>1</v>
      </c>
      <c r="AA9" s="156">
        <f t="shared" si="13"/>
        <v>1</v>
      </c>
      <c r="AB9" s="156">
        <f t="shared" si="13"/>
        <v>2</v>
      </c>
      <c r="AC9" s="156">
        <f t="shared" si="9"/>
        <v>5</v>
      </c>
    </row>
    <row r="10">
      <c r="B10" s="155" t="str">
        <f>'LISTA SVINCOLATI'!$A$9</f>
        <v>Ale</v>
      </c>
      <c r="C10" s="155">
        <f t="shared" si="3"/>
        <v>2</v>
      </c>
      <c r="D10" s="155">
        <f>sumif('LISTA SVINCOLATI'!C$5:C$120,B10,'LISTA SVINCOLATI'!I$5:I$120)</f>
        <v>4</v>
      </c>
      <c r="E10" s="155"/>
      <c r="F10" s="155">
        <f>'ROSE 2026'!U32</f>
        <v>2</v>
      </c>
      <c r="G10" s="155">
        <v>100.0</v>
      </c>
      <c r="H10" s="186">
        <f t="shared" si="4"/>
        <v>106</v>
      </c>
      <c r="J10" s="155" t="str">
        <f>'LISTA SVINCOLATI'!$A$9</f>
        <v>Ale</v>
      </c>
      <c r="K10" s="157">
        <f>COUNTIFS('LISTA SVINCOLATI'!$C$4:$C$120,$J10,'LISTA SVINCOLATI'!$F$4:$F$120,K$5)</f>
        <v>0</v>
      </c>
      <c r="L10" s="157">
        <f>COUNTIFS('LISTA SVINCOLATI'!$C$4:$C$120,$J10,'LISTA SVINCOLATI'!$F$4:$F$120,L$5)</f>
        <v>1</v>
      </c>
      <c r="M10" s="157">
        <f>COUNTIFS('LISTA SVINCOLATI'!$C$4:$C$120,$J10,'LISTA SVINCOLATI'!$F$4:$F$120,M$5)</f>
        <v>1</v>
      </c>
      <c r="N10" s="157">
        <f>COUNTIFS('LISTA SVINCOLATI'!$C$4:$C$120,$J10,'LISTA SVINCOLATI'!$F$4:$F$120,N$5)</f>
        <v>0</v>
      </c>
      <c r="O10" s="157">
        <f t="shared" si="5"/>
        <v>2</v>
      </c>
      <c r="Q10" s="155" t="str">
        <f>'LISTA SVINCOLATI'!$A$9</f>
        <v>Ale</v>
      </c>
      <c r="R10" s="187">
        <f t="shared" ref="R10:U10" si="14">COUNTIF($C24:$Z24,R$5)</f>
        <v>0</v>
      </c>
      <c r="S10" s="187">
        <f t="shared" si="14"/>
        <v>0</v>
      </c>
      <c r="T10" s="187">
        <f t="shared" si="14"/>
        <v>0</v>
      </c>
      <c r="U10" s="187">
        <f t="shared" si="14"/>
        <v>0</v>
      </c>
      <c r="V10" s="188">
        <f t="shared" si="7"/>
        <v>0</v>
      </c>
      <c r="X10" s="155" t="str">
        <f>'LISTA SVINCOLATI'!$A$9</f>
        <v>Ale</v>
      </c>
      <c r="Y10" s="156">
        <f t="shared" ref="Y10:AB10" si="15">K10-R10</f>
        <v>0</v>
      </c>
      <c r="Z10" s="156">
        <f t="shared" si="15"/>
        <v>1</v>
      </c>
      <c r="AA10" s="156">
        <f t="shared" si="15"/>
        <v>1</v>
      </c>
      <c r="AB10" s="156">
        <f t="shared" si="15"/>
        <v>0</v>
      </c>
      <c r="AC10" s="156">
        <f t="shared" si="9"/>
        <v>2</v>
      </c>
    </row>
    <row r="11">
      <c r="B11" s="155" t="str">
        <f>'LISTA SVINCOLATI'!$A$10</f>
        <v>Carl</v>
      </c>
      <c r="C11" s="155">
        <f t="shared" si="3"/>
        <v>6</v>
      </c>
      <c r="D11" s="155">
        <f>sumif('LISTA SVINCOLATI'!C$5:C$120,B11,'LISTA SVINCOLATI'!I$5:I$120)</f>
        <v>14</v>
      </c>
      <c r="E11" s="155"/>
      <c r="F11" s="155">
        <f>'ROSE 2026'!E67</f>
        <v>15</v>
      </c>
      <c r="G11" s="155">
        <v>100.0</v>
      </c>
      <c r="H11" s="186">
        <f t="shared" si="4"/>
        <v>129</v>
      </c>
      <c r="J11" s="155" t="str">
        <f>'LISTA SVINCOLATI'!$A$10</f>
        <v>Carl</v>
      </c>
      <c r="K11" s="157">
        <f>COUNTIFS('LISTA SVINCOLATI'!$C$4:$C$120,$J11,'LISTA SVINCOLATI'!$F$4:$F$120,K$5)</f>
        <v>1</v>
      </c>
      <c r="L11" s="157">
        <f>COUNTIFS('LISTA SVINCOLATI'!$C$4:$C$120,$J11,'LISTA SVINCOLATI'!$F$4:$F$120,L$5)</f>
        <v>1</v>
      </c>
      <c r="M11" s="157">
        <f>COUNTIFS('LISTA SVINCOLATI'!$C$4:$C$120,$J11,'LISTA SVINCOLATI'!$F$4:$F$120,M$5)</f>
        <v>3</v>
      </c>
      <c r="N11" s="157">
        <f>COUNTIFS('LISTA SVINCOLATI'!$C$4:$C$120,$J11,'LISTA SVINCOLATI'!$F$4:$F$120,N$5)</f>
        <v>1</v>
      </c>
      <c r="O11" s="157">
        <f t="shared" si="5"/>
        <v>6</v>
      </c>
      <c r="Q11" s="155" t="str">
        <f>'LISTA SVINCOLATI'!$A$10</f>
        <v>Carl</v>
      </c>
      <c r="R11" s="187">
        <f t="shared" ref="R11:U11" si="16">COUNTIF($C25:$Z25,R$5)</f>
        <v>0</v>
      </c>
      <c r="S11" s="187">
        <f t="shared" si="16"/>
        <v>0</v>
      </c>
      <c r="T11" s="187">
        <f t="shared" si="16"/>
        <v>0</v>
      </c>
      <c r="U11" s="187">
        <f t="shared" si="16"/>
        <v>0</v>
      </c>
      <c r="V11" s="188">
        <f t="shared" si="7"/>
        <v>0</v>
      </c>
      <c r="X11" s="155" t="str">
        <f>'LISTA SVINCOLATI'!$A$10</f>
        <v>Carl</v>
      </c>
      <c r="Y11" s="156">
        <f t="shared" ref="Y11:AB11" si="17">K11-R11</f>
        <v>1</v>
      </c>
      <c r="Z11" s="156">
        <f t="shared" si="17"/>
        <v>1</v>
      </c>
      <c r="AA11" s="156">
        <f t="shared" si="17"/>
        <v>3</v>
      </c>
      <c r="AB11" s="156">
        <f t="shared" si="17"/>
        <v>1</v>
      </c>
      <c r="AC11" s="156">
        <f t="shared" si="9"/>
        <v>6</v>
      </c>
    </row>
    <row r="12">
      <c r="B12" s="155" t="str">
        <f>'LISTA SVINCOLATI'!$A$11</f>
        <v>Ismo</v>
      </c>
      <c r="C12" s="155">
        <f t="shared" si="3"/>
        <v>4</v>
      </c>
      <c r="D12" s="155">
        <f>sumif('LISTA SVINCOLATI'!C$5:C$120,B12,'LISTA SVINCOLATI'!I$5:I$120)</f>
        <v>5</v>
      </c>
      <c r="E12" s="155"/>
      <c r="F12" s="155">
        <f>'ROSE 2026'!I67</f>
        <v>0</v>
      </c>
      <c r="G12" s="155">
        <v>100.0</v>
      </c>
      <c r="H12" s="186">
        <f t="shared" si="4"/>
        <v>105</v>
      </c>
      <c r="J12" s="155" t="str">
        <f>'LISTA SVINCOLATI'!$A$11</f>
        <v>Ismo</v>
      </c>
      <c r="K12" s="157">
        <f>COUNTIFS('LISTA SVINCOLATI'!$C$4:$C$120,$J12,'LISTA SVINCOLATI'!$F$4:$F$120,K$5)</f>
        <v>1</v>
      </c>
      <c r="L12" s="157">
        <f>COUNTIFS('LISTA SVINCOLATI'!$C$4:$C$120,$J12,'LISTA SVINCOLATI'!$F$4:$F$120,L$5)</f>
        <v>1</v>
      </c>
      <c r="M12" s="157">
        <f>COUNTIFS('LISTA SVINCOLATI'!$C$4:$C$120,$J12,'LISTA SVINCOLATI'!$F$4:$F$120,M$5)</f>
        <v>1</v>
      </c>
      <c r="N12" s="157">
        <f>COUNTIFS('LISTA SVINCOLATI'!$C$4:$C$120,$J12,'LISTA SVINCOLATI'!$F$4:$F$120,N$5)</f>
        <v>1</v>
      </c>
      <c r="O12" s="157">
        <f t="shared" si="5"/>
        <v>4</v>
      </c>
      <c r="Q12" s="155" t="str">
        <f>'LISTA SVINCOLATI'!$A$11</f>
        <v>Ismo</v>
      </c>
      <c r="R12" s="187">
        <f t="shared" ref="R12:U12" si="18">COUNTIF($C26:$Z26,R$5)</f>
        <v>0</v>
      </c>
      <c r="S12" s="187">
        <f t="shared" si="18"/>
        <v>0</v>
      </c>
      <c r="T12" s="187">
        <f t="shared" si="18"/>
        <v>0</v>
      </c>
      <c r="U12" s="187">
        <f t="shared" si="18"/>
        <v>0</v>
      </c>
      <c r="V12" s="188">
        <f t="shared" si="7"/>
        <v>0</v>
      </c>
      <c r="X12" s="155" t="str">
        <f>'LISTA SVINCOLATI'!$A$11</f>
        <v>Ismo</v>
      </c>
      <c r="Y12" s="156">
        <f t="shared" ref="Y12:AB12" si="19">K12-R12</f>
        <v>1</v>
      </c>
      <c r="Z12" s="156">
        <f t="shared" si="19"/>
        <v>1</v>
      </c>
      <c r="AA12" s="156">
        <f t="shared" si="19"/>
        <v>1</v>
      </c>
      <c r="AB12" s="156">
        <f t="shared" si="19"/>
        <v>1</v>
      </c>
      <c r="AC12" s="156">
        <f t="shared" si="9"/>
        <v>4</v>
      </c>
    </row>
    <row r="13">
      <c r="B13" s="155" t="str">
        <f>'LISTA SVINCOLATI'!$A$12</f>
        <v>Lomba</v>
      </c>
      <c r="C13" s="155">
        <f t="shared" si="3"/>
        <v>6</v>
      </c>
      <c r="D13" s="155">
        <f>sumif('LISTA SVINCOLATI'!C$5:C$120,B13,'LISTA SVINCOLATI'!I$5:I$120)</f>
        <v>73</v>
      </c>
      <c r="E13" s="155"/>
      <c r="F13" s="155">
        <f>'ROSE 2026'!M67</f>
        <v>1</v>
      </c>
      <c r="G13" s="155">
        <v>100.0</v>
      </c>
      <c r="H13" s="186">
        <f t="shared" si="4"/>
        <v>174</v>
      </c>
      <c r="J13" s="155" t="str">
        <f>'LISTA SVINCOLATI'!$A$12</f>
        <v>Lomba</v>
      </c>
      <c r="K13" s="157">
        <f>COUNTIFS('LISTA SVINCOLATI'!$C$4:$C$120,$J13,'LISTA SVINCOLATI'!$F$4:$F$120,K$5)</f>
        <v>0</v>
      </c>
      <c r="L13" s="157">
        <f>COUNTIFS('LISTA SVINCOLATI'!$C$4:$C$120,$J13,'LISTA SVINCOLATI'!$F$4:$F$120,L$5)</f>
        <v>1</v>
      </c>
      <c r="M13" s="157">
        <f>COUNTIFS('LISTA SVINCOLATI'!$C$4:$C$120,$J13,'LISTA SVINCOLATI'!$F$4:$F$120,M$5)</f>
        <v>3</v>
      </c>
      <c r="N13" s="157">
        <f>COUNTIFS('LISTA SVINCOLATI'!$C$4:$C$120,$J13,'LISTA SVINCOLATI'!$F$4:$F$120,N$5)</f>
        <v>2</v>
      </c>
      <c r="O13" s="157">
        <f t="shared" si="5"/>
        <v>6</v>
      </c>
      <c r="Q13" s="155" t="str">
        <f>'LISTA SVINCOLATI'!$A$12</f>
        <v>Lomba</v>
      </c>
      <c r="R13" s="187">
        <f t="shared" ref="R13:U13" si="20">COUNTIF($C27:$Z27,R$5)</f>
        <v>0</v>
      </c>
      <c r="S13" s="187">
        <f t="shared" si="20"/>
        <v>0</v>
      </c>
      <c r="T13" s="187">
        <f t="shared" si="20"/>
        <v>0</v>
      </c>
      <c r="U13" s="187">
        <f t="shared" si="20"/>
        <v>0</v>
      </c>
      <c r="V13" s="188">
        <f t="shared" si="7"/>
        <v>0</v>
      </c>
      <c r="X13" s="155" t="str">
        <f>'LISTA SVINCOLATI'!$A$12</f>
        <v>Lomba</v>
      </c>
      <c r="Y13" s="156">
        <f t="shared" ref="Y13:AB13" si="21">K13-R13</f>
        <v>0</v>
      </c>
      <c r="Z13" s="156">
        <f t="shared" si="21"/>
        <v>1</v>
      </c>
      <c r="AA13" s="156">
        <f t="shared" si="21"/>
        <v>3</v>
      </c>
      <c r="AB13" s="156">
        <f t="shared" si="21"/>
        <v>2</v>
      </c>
      <c r="AC13" s="156">
        <f t="shared" si="9"/>
        <v>6</v>
      </c>
    </row>
    <row r="14">
      <c r="B14" s="155" t="str">
        <f>'LISTA SVINCOLATI'!$A$13</f>
        <v>Niub</v>
      </c>
      <c r="C14" s="155">
        <f t="shared" si="3"/>
        <v>3</v>
      </c>
      <c r="D14" s="155">
        <f>sumif('LISTA SVINCOLATI'!C$5:C$120,B14,'LISTA SVINCOLATI'!I$5:I$120)</f>
        <v>24</v>
      </c>
      <c r="E14" s="155"/>
      <c r="F14" s="155">
        <f>'ROSE 2026'!Q67</f>
        <v>5</v>
      </c>
      <c r="G14" s="155">
        <v>100.0</v>
      </c>
      <c r="H14" s="186">
        <f t="shared" si="4"/>
        <v>129</v>
      </c>
      <c r="J14" s="155" t="str">
        <f>'LISTA SVINCOLATI'!$A$13</f>
        <v>Niub</v>
      </c>
      <c r="K14" s="157">
        <f>COUNTIFS('LISTA SVINCOLATI'!$C$4:$C$120,$J14,'LISTA SVINCOLATI'!$F$4:$F$120,K$5)</f>
        <v>0</v>
      </c>
      <c r="L14" s="157">
        <f>COUNTIFS('LISTA SVINCOLATI'!$C$4:$C$120,$J14,'LISTA SVINCOLATI'!$F$4:$F$120,L$5)</f>
        <v>0</v>
      </c>
      <c r="M14" s="157">
        <f>COUNTIFS('LISTA SVINCOLATI'!$C$4:$C$120,$J14,'LISTA SVINCOLATI'!$F$4:$F$120,M$5)</f>
        <v>2</v>
      </c>
      <c r="N14" s="157">
        <f>COUNTIFS('LISTA SVINCOLATI'!$C$4:$C$120,$J14,'LISTA SVINCOLATI'!$F$4:$F$120,N$5)</f>
        <v>1</v>
      </c>
      <c r="O14" s="157">
        <f t="shared" si="5"/>
        <v>3</v>
      </c>
      <c r="Q14" s="155" t="str">
        <f>'LISTA SVINCOLATI'!$A$13</f>
        <v>Niub</v>
      </c>
      <c r="R14" s="187">
        <f t="shared" ref="R14:U14" si="22">COUNTIF($C28:$Z28,R$5)</f>
        <v>0</v>
      </c>
      <c r="S14" s="187">
        <f t="shared" si="22"/>
        <v>0</v>
      </c>
      <c r="T14" s="187">
        <f t="shared" si="22"/>
        <v>0</v>
      </c>
      <c r="U14" s="187">
        <f t="shared" si="22"/>
        <v>0</v>
      </c>
      <c r="V14" s="188">
        <f t="shared" si="7"/>
        <v>0</v>
      </c>
      <c r="X14" s="155" t="str">
        <f>'LISTA SVINCOLATI'!$A$13</f>
        <v>Niub</v>
      </c>
      <c r="Y14" s="156">
        <f t="shared" ref="Y14:AB14" si="23">K14-R14</f>
        <v>0</v>
      </c>
      <c r="Z14" s="156">
        <f t="shared" si="23"/>
        <v>0</v>
      </c>
      <c r="AA14" s="156">
        <f t="shared" si="23"/>
        <v>2</v>
      </c>
      <c r="AB14" s="156">
        <f t="shared" si="23"/>
        <v>1</v>
      </c>
      <c r="AC14" s="156">
        <f t="shared" si="9"/>
        <v>3</v>
      </c>
    </row>
    <row r="15">
      <c r="B15" s="163" t="str">
        <f>'LISTA SVINCOLATI'!$A$14</f>
        <v>Fusto</v>
      </c>
      <c r="C15" s="163">
        <f t="shared" si="3"/>
        <v>7</v>
      </c>
      <c r="D15" s="163">
        <f>sumif('LISTA SVINCOLATI'!C$5:C$120,B15,'LISTA SVINCOLATI'!I$5:I$120)</f>
        <v>70</v>
      </c>
      <c r="E15" s="163"/>
      <c r="F15" s="163">
        <f>'ROSE 2026'!U67</f>
        <v>0</v>
      </c>
      <c r="G15" s="163">
        <v>100.0</v>
      </c>
      <c r="H15" s="189">
        <f t="shared" si="4"/>
        <v>170</v>
      </c>
      <c r="J15" s="163" t="str">
        <f>'LISTA SVINCOLATI'!$A$14</f>
        <v>Fusto</v>
      </c>
      <c r="K15" s="157">
        <f>COUNTIFS('LISTA SVINCOLATI'!$C$4:$C$120,$J15,'LISTA SVINCOLATI'!$F$4:$F$120,K$5)</f>
        <v>1</v>
      </c>
      <c r="L15" s="157">
        <f>COUNTIFS('LISTA SVINCOLATI'!$C$4:$C$120,$J15,'LISTA SVINCOLATI'!$F$4:$F$120,L$5)</f>
        <v>0</v>
      </c>
      <c r="M15" s="190">
        <f>COUNTIFS('LISTA SVINCOLATI'!$C$4:$C$120,$J15,'LISTA SVINCOLATI'!$F$4:$F$120,M$5)</f>
        <v>2</v>
      </c>
      <c r="N15" s="190">
        <f>COUNTIFS('LISTA SVINCOLATI'!$C$4:$C$120,$J15,'LISTA SVINCOLATI'!$F$4:$F$120,N$5)</f>
        <v>4</v>
      </c>
      <c r="O15" s="190">
        <f t="shared" si="5"/>
        <v>7</v>
      </c>
      <c r="Q15" s="163" t="str">
        <f>'LISTA SVINCOLATI'!$A$14</f>
        <v>Fusto</v>
      </c>
      <c r="R15" s="191">
        <f t="shared" ref="R15:U15" si="24">COUNTIF($C29:$Z29,R$5)</f>
        <v>0</v>
      </c>
      <c r="S15" s="191">
        <f t="shared" si="24"/>
        <v>0</v>
      </c>
      <c r="T15" s="191">
        <f t="shared" si="24"/>
        <v>0</v>
      </c>
      <c r="U15" s="191">
        <f t="shared" si="24"/>
        <v>0</v>
      </c>
      <c r="V15" s="192">
        <f t="shared" si="7"/>
        <v>0</v>
      </c>
      <c r="X15" s="163" t="str">
        <f>'LISTA SVINCOLATI'!$A$14</f>
        <v>Fusto</v>
      </c>
      <c r="Y15" s="156">
        <f t="shared" ref="Y15:AB15" si="25">K15-R15</f>
        <v>1</v>
      </c>
      <c r="Z15" s="156">
        <f t="shared" si="25"/>
        <v>0</v>
      </c>
      <c r="AA15" s="156">
        <f t="shared" si="25"/>
        <v>2</v>
      </c>
      <c r="AB15" s="156">
        <f t="shared" si="25"/>
        <v>4</v>
      </c>
      <c r="AC15" s="193">
        <f t="shared" si="9"/>
        <v>7</v>
      </c>
    </row>
    <row r="16">
      <c r="K16" s="194">
        <f t="shared" ref="K16:O16" si="26">sum(K6:K15)</f>
        <v>6</v>
      </c>
      <c r="L16" s="194">
        <f t="shared" si="26"/>
        <v>7</v>
      </c>
      <c r="M16" s="194">
        <f t="shared" si="26"/>
        <v>18</v>
      </c>
      <c r="N16" s="194">
        <f t="shared" si="26"/>
        <v>18</v>
      </c>
      <c r="O16" s="194">
        <f t="shared" si="26"/>
        <v>49</v>
      </c>
      <c r="R16" s="195">
        <f t="shared" ref="R16:V16" si="27">sum(R6:R15)</f>
        <v>0</v>
      </c>
      <c r="S16" s="195">
        <f t="shared" si="27"/>
        <v>0</v>
      </c>
      <c r="T16" s="195">
        <f t="shared" si="27"/>
        <v>0</v>
      </c>
      <c r="U16" s="195">
        <f t="shared" si="27"/>
        <v>0</v>
      </c>
      <c r="V16" s="196">
        <f t="shared" si="27"/>
        <v>0</v>
      </c>
      <c r="Y16" s="197">
        <f t="shared" ref="Y16:AC16" si="28">sum(Y6:Y15)</f>
        <v>6</v>
      </c>
      <c r="Z16" s="197">
        <f t="shared" si="28"/>
        <v>7</v>
      </c>
      <c r="AA16" s="197">
        <f t="shared" si="28"/>
        <v>18</v>
      </c>
      <c r="AB16" s="197">
        <f t="shared" si="28"/>
        <v>18</v>
      </c>
      <c r="AC16" s="197">
        <f t="shared" si="28"/>
        <v>49</v>
      </c>
    </row>
    <row r="19">
      <c r="B19" s="180" t="s">
        <v>1120</v>
      </c>
      <c r="C19" s="180" t="s">
        <v>1457</v>
      </c>
      <c r="D19" s="180" t="s">
        <v>1458</v>
      </c>
      <c r="E19" s="180" t="s">
        <v>1459</v>
      </c>
      <c r="F19" s="180" t="s">
        <v>1460</v>
      </c>
      <c r="G19" s="180" t="s">
        <v>1461</v>
      </c>
      <c r="H19" s="180" t="s">
        <v>1462</v>
      </c>
      <c r="I19" s="180" t="s">
        <v>1463</v>
      </c>
      <c r="J19" s="180" t="s">
        <v>1464</v>
      </c>
      <c r="K19" s="180" t="s">
        <v>1465</v>
      </c>
      <c r="L19" s="180" t="s">
        <v>1466</v>
      </c>
      <c r="M19" s="180" t="s">
        <v>1467</v>
      </c>
      <c r="N19" s="180" t="s">
        <v>1468</v>
      </c>
      <c r="O19" s="180" t="s">
        <v>1469</v>
      </c>
      <c r="P19" s="180" t="s">
        <v>1470</v>
      </c>
      <c r="Q19" s="180" t="s">
        <v>1471</v>
      </c>
      <c r="R19" s="180" t="s">
        <v>1472</v>
      </c>
      <c r="S19" s="180" t="s">
        <v>1473</v>
      </c>
      <c r="T19" s="180" t="s">
        <v>1474</v>
      </c>
      <c r="U19" s="180" t="s">
        <v>1475</v>
      </c>
      <c r="V19" s="180" t="s">
        <v>1476</v>
      </c>
      <c r="W19" s="180" t="s">
        <v>1477</v>
      </c>
      <c r="X19" s="180" t="s">
        <v>1478</v>
      </c>
      <c r="Y19" s="180" t="s">
        <v>1479</v>
      </c>
      <c r="Z19" s="180" t="s">
        <v>1480</v>
      </c>
      <c r="AA19" s="181" t="s">
        <v>1456</v>
      </c>
      <c r="AB19" s="180" t="s">
        <v>1120</v>
      </c>
    </row>
    <row r="20">
      <c r="A20" s="125">
        <v>1.0</v>
      </c>
      <c r="B20" s="149" t="str">
        <f>'LISTA SVINCOLATI'!$A$5</f>
        <v>Taffo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50"/>
      <c r="AA20" s="157">
        <f t="shared" ref="AA20:AA29" si="29">H6-(D20+G20+J20+M20+P20+S20+V20+Y20)</f>
        <v>129</v>
      </c>
      <c r="AB20" s="149" t="str">
        <f>'LISTA SVINCOLATI'!$A$5</f>
        <v>Taffo</v>
      </c>
    </row>
    <row r="21">
      <c r="A21" s="125">
        <v>2.0</v>
      </c>
      <c r="B21" s="155" t="str">
        <f>'LISTA SVINCOLATI'!$A$6</f>
        <v>Fore</v>
      </c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98"/>
      <c r="AA21" s="157">
        <f t="shared" si="29"/>
        <v>123</v>
      </c>
      <c r="AB21" s="155" t="str">
        <f>'LISTA SVINCOLATI'!$A$6</f>
        <v>Fore</v>
      </c>
    </row>
    <row r="22">
      <c r="A22" s="125">
        <v>3.0</v>
      </c>
      <c r="B22" s="155" t="str">
        <f>'LISTA SVINCOLATI'!$A$7</f>
        <v>Burney</v>
      </c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98"/>
      <c r="AA22" s="157">
        <f t="shared" si="29"/>
        <v>136</v>
      </c>
      <c r="AB22" s="155" t="str">
        <f>'LISTA SVINCOLATI'!$A$7</f>
        <v>Burney</v>
      </c>
    </row>
    <row r="23">
      <c r="A23" s="125">
        <v>4.0</v>
      </c>
      <c r="B23" s="155" t="str">
        <f>'LISTA SVINCOLATI'!$A$8</f>
        <v>Alfio</v>
      </c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98"/>
      <c r="AA23" s="157">
        <f t="shared" si="29"/>
        <v>223</v>
      </c>
      <c r="AB23" s="155" t="str">
        <f>'LISTA SVINCOLATI'!$A$8</f>
        <v>Alfio</v>
      </c>
    </row>
    <row r="24">
      <c r="A24" s="125">
        <v>5.0</v>
      </c>
      <c r="B24" s="155" t="str">
        <f>'LISTA SVINCOLATI'!$A$9</f>
        <v>Ale</v>
      </c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98"/>
      <c r="AA24" s="157">
        <f t="shared" si="29"/>
        <v>106</v>
      </c>
      <c r="AB24" s="155" t="str">
        <f>'LISTA SVINCOLATI'!$A$9</f>
        <v>Ale</v>
      </c>
    </row>
    <row r="25">
      <c r="A25" s="125">
        <v>6.0</v>
      </c>
      <c r="B25" s="155" t="str">
        <f>'LISTA SVINCOLATI'!$A$10</f>
        <v>Carl</v>
      </c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98"/>
      <c r="AA25" s="157">
        <f t="shared" si="29"/>
        <v>129</v>
      </c>
      <c r="AB25" s="155" t="str">
        <f>'LISTA SVINCOLATI'!$A$10</f>
        <v>Carl</v>
      </c>
    </row>
    <row r="26">
      <c r="A26" s="125">
        <v>7.0</v>
      </c>
      <c r="B26" s="155" t="str">
        <f>'LISTA SVINCOLATI'!$A$11</f>
        <v>Ismo</v>
      </c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98"/>
      <c r="AA26" s="157">
        <f t="shared" si="29"/>
        <v>105</v>
      </c>
      <c r="AB26" s="155" t="str">
        <f>'LISTA SVINCOLATI'!$A$11</f>
        <v>Ismo</v>
      </c>
    </row>
    <row r="27">
      <c r="A27" s="125">
        <v>8.0</v>
      </c>
      <c r="B27" s="155" t="str">
        <f>'LISTA SVINCOLATI'!$A$12</f>
        <v>Lomba</v>
      </c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98"/>
      <c r="AA27" s="157">
        <f t="shared" si="29"/>
        <v>174</v>
      </c>
      <c r="AB27" s="155" t="str">
        <f>'LISTA SVINCOLATI'!$A$12</f>
        <v>Lomba</v>
      </c>
    </row>
    <row r="28">
      <c r="A28" s="125">
        <v>9.0</v>
      </c>
      <c r="B28" s="155" t="str">
        <f>'LISTA SVINCOLATI'!$A$13</f>
        <v>Niub</v>
      </c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98"/>
      <c r="AA28" s="157">
        <f t="shared" si="29"/>
        <v>129</v>
      </c>
      <c r="AB28" s="155" t="str">
        <f>'LISTA SVINCOLATI'!$A$13</f>
        <v>Niub</v>
      </c>
    </row>
    <row r="29">
      <c r="A29" s="125">
        <v>10.0</v>
      </c>
      <c r="B29" s="163" t="str">
        <f>'LISTA SVINCOLATI'!$A$14</f>
        <v>Fusto</v>
      </c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99"/>
      <c r="AA29" s="157">
        <f t="shared" si="29"/>
        <v>170</v>
      </c>
      <c r="AB29" s="163" t="str">
        <f>'LISTA SVINCOLATI'!$A$14</f>
        <v>Fusto</v>
      </c>
    </row>
  </sheetData>
  <mergeCells count="4">
    <mergeCell ref="B2:H3"/>
    <mergeCell ref="J3:N3"/>
    <mergeCell ref="Q3:U3"/>
    <mergeCell ref="X3:AB3"/>
  </mergeCells>
  <conditionalFormatting sqref="L23:L24 N23:N25 E24:F24 H24:H25 I24 K24:K25 O24 Q24:Q25 R24 T24:T25 U24 W24:W25 X24 Z24:Z25">
    <cfRule type="notContainsBlanks" dxfId="0" priority="1">
      <formula>LEN(TRIM(L23))&gt;0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2019-09-05T06:40:40Z</dcterms:created>
  <dc:creator>ricca</dc:creator>
</cp:coreProperties>
</file>